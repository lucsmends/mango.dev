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Atores (UAW)" sheetId="2" state="visible" r:id="rId4"/>
    <sheet name="Casos de Uso (UUCW)" sheetId="3" state="visible" r:id="rId5"/>
    <sheet name="TCF" sheetId="4" state="visible" r:id="rId6"/>
    <sheet name="ECF" sheetId="5" state="visible" r:id="rId7"/>
    <sheet name="Esforço por U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<sst xmlns="http://schemas.openxmlformats.org/spreadsheetml/2006/main" count="256" uniqueCount="219">
  <si>
    <t xml:space="preserve">MANGO — ESTIMATIVA DE ESFORÇO (UCP)</t>
  </si>
  <si>
    <t xml:space="preserve">Use Case Points — Sprint 1 — Versão 1.0 (11/05/2026)</t>
  </si>
  <si>
    <t xml:space="preserve">Projeto</t>
  </si>
  <si>
    <t xml:space="preserve">Mango — Leitor de Mangás</t>
  </si>
  <si>
    <t xml:space="preserve">Disciplina</t>
  </si>
  <si>
    <t xml:space="preserve">Implementação de Software — 2026/1</t>
  </si>
  <si>
    <t xml:space="preserve">Equipe</t>
  </si>
  <si>
    <t xml:space="preserve">3 desenvolvedores full stack (Max Soares, Lucas Mendes, Lorenzo Oliveira)</t>
  </si>
  <si>
    <t xml:space="preserve">Sprints planejadas</t>
  </si>
  <si>
    <t xml:space="preserve">Indicador</t>
  </si>
  <si>
    <t xml:space="preserve">Valor</t>
  </si>
  <si>
    <t xml:space="preserve">Observações</t>
  </si>
  <si>
    <t xml:space="preserve">UAW (Unadjusted Actor Weight)</t>
  </si>
  <si>
    <t xml:space="preserve">Soma dos pesos dos atores.</t>
  </si>
  <si>
    <t xml:space="preserve">UUCW (Unadjusted Use Case Weight)</t>
  </si>
  <si>
    <t xml:space="preserve">Soma dos pesos dos casos de uso.</t>
  </si>
  <si>
    <t xml:space="preserve">UUCP = UAW + UUCW</t>
  </si>
  <si>
    <t xml:space="preserve">Pontos de caso de uso não ajustados.</t>
  </si>
  <si>
    <t xml:space="preserve">TFactor (técnico)</t>
  </si>
  <si>
    <t xml:space="preserve">Soma das contribuições técnicas (13 fatores).</t>
  </si>
  <si>
    <t xml:space="preserve">TCF = 0,6 + 0,01 × TFactor</t>
  </si>
  <si>
    <t xml:space="preserve">Fator de complexidade técnica.</t>
  </si>
  <si>
    <t xml:space="preserve">EFactor (ambiental)</t>
  </si>
  <si>
    <t xml:space="preserve">Soma das contribuições ambientais (8 fatores).</t>
  </si>
  <si>
    <t xml:space="preserve">ECF = 1,4 − 0,03 × EFactor</t>
  </si>
  <si>
    <t xml:space="preserve">Fator de complexidade ambiental.</t>
  </si>
  <si>
    <t xml:space="preserve">UCP = UUCP × TCF × ECF</t>
  </si>
  <si>
    <t xml:space="preserve">Use Case Points ajustados.</t>
  </si>
  <si>
    <t xml:space="preserve">Produtividade (horas / UCP)</t>
  </si>
  <si>
    <t xml:space="preserve">Padrão de 20 h/UCP (entre 15-30 conforme Karner).</t>
  </si>
  <si>
    <t xml:space="preserve">Esforço total estimado (horas)</t>
  </si>
  <si>
    <t xml:space="preserve">Horas totais de toda a equipe.</t>
  </si>
  <si>
    <t xml:space="preserve">Esforço por desenvolvedor (horas)</t>
  </si>
  <si>
    <t xml:space="preserve">Distribuído entre os 3 devs.</t>
  </si>
  <si>
    <t xml:space="preserve">Carga semanal por desenvolvedor</t>
  </si>
  <si>
    <t xml:space="preserve">Esforço médio semanal por dev (em 5 sprints).</t>
  </si>
  <si>
    <t xml:space="preserve">Carga semanal — alerta</t>
  </si>
  <si>
    <t xml:space="preserve">Limiar de 60 h/semana/dev.</t>
  </si>
  <si>
    <t xml:space="preserve">Como interpretar</t>
  </si>
  <si>
    <t xml:space="preserve">1. UAW pondera os atores em Simples (1), Médio (2) e Complexo (3) conforme a interface.</t>
  </si>
  <si>
    <t xml:space="preserve">2. UUCW pondera os casos de uso em Simples (5), Médio (10) e Complexo (15) conforme o número de transações.</t>
  </si>
  <si>
    <t xml:space="preserve">3. TCF aplica 13 fatores técnicos com pesos definidos por Karner (1993); cada um é avaliado de 0 a 5.</t>
  </si>
  <si>
    <t xml:space="preserve">4. ECF aplica 8 fatores ambientais; alguns fatores (E7, E8) têm peso negativo.</t>
  </si>
  <si>
    <t xml:space="preserve">5. Produtividade entre 15 h/UCP (equipe experiente) e 30 h/UCP (equipe iniciante); 20 é um valor mediano.</t>
  </si>
  <si>
    <t xml:space="preserve">6. A estimativa serve como referência relativa; recalibrar a cada retrospectiva de sprint comparando estimado x real.</t>
  </si>
  <si>
    <t xml:space="preserve">UAW — Unadjusted Actor Weight</t>
  </si>
  <si>
    <t xml:space="preserve">Pesos de Karner: Simples=1 (API definida), Médio=2 (protocolo), Complexo=3 (humano/GUI)</t>
  </si>
  <si>
    <t xml:space="preserve">ID</t>
  </si>
  <si>
    <t xml:space="preserve">Ator</t>
  </si>
  <si>
    <t xml:space="preserve">Tipo</t>
  </si>
  <si>
    <t xml:space="preserve">Justificativa</t>
  </si>
  <si>
    <t xml:space="preserve">Peso</t>
  </si>
  <si>
    <t xml:space="preserve">A1</t>
  </si>
  <si>
    <t xml:space="preserve">Leitor (usuário final)</t>
  </si>
  <si>
    <t xml:space="preserve">Complexo</t>
  </si>
  <si>
    <t xml:space="preserve">Interage com o sistema via interface gráfica JavaFX.</t>
  </si>
  <si>
    <t xml:space="preserve">Padrão para usuários humanos em GUI.</t>
  </si>
  <si>
    <t xml:space="preserve">A2</t>
  </si>
  <si>
    <t xml:space="preserve">API MangaDex</t>
  </si>
  <si>
    <t xml:space="preserve">Simples</t>
  </si>
  <si>
    <t xml:space="preserve">Sistema externo com API REST bem definida e documentada.</t>
  </si>
  <si>
    <t xml:space="preserve">Acesso via HttpClient nativo.</t>
  </si>
  <si>
    <t xml:space="preserve">A3</t>
  </si>
  <si>
    <t xml:space="preserve">API de Tradução</t>
  </si>
  <si>
    <t xml:space="preserve">Sistema externo com API REST (DeepL/Google Translate ou LLM).</t>
  </si>
  <si>
    <t xml:space="preserve">Apenas no UC4.</t>
  </si>
  <si>
    <t xml:space="preserve">TOTAL UAW</t>
  </si>
  <si>
    <t xml:space="preserve">Legenda de pesos</t>
  </si>
  <si>
    <t xml:space="preserve">Descrição</t>
  </si>
  <si>
    <t xml:space="preserve">Outro sistema, acesso via API bem definida.</t>
  </si>
  <si>
    <t xml:space="preserve">Médio</t>
  </si>
  <si>
    <t xml:space="preserve">Outro sistema, acesso via protocolo (ex.: HTTP, TCP).</t>
  </si>
  <si>
    <t xml:space="preserve">Pessoa interagindo via GUI ou terminal.</t>
  </si>
  <si>
    <t xml:space="preserve">UUCW — Unadjusted Use Case Weight</t>
  </si>
  <si>
    <t xml:space="preserve">Simples=5 (≤3 transações), Médio=10 (4-7), Complexo=15 (≥8)</t>
  </si>
  <si>
    <t xml:space="preserve">Caso de Uso</t>
  </si>
  <si>
    <t xml:space="preserve">Transações</t>
  </si>
  <si>
    <t xml:space="preserve">UC1</t>
  </si>
  <si>
    <t xml:space="preserve">Catálogo e Busca de Mangás</t>
  </si>
  <si>
    <t xml:space="preserve">Busca, filtro, paginação, cache, ficha do mangá, listagem de capítulos.</t>
  </si>
  <si>
    <t xml:space="preserve">UC2</t>
  </si>
  <si>
    <t xml:space="preserve">Leitor de Capítulos</t>
  </si>
  <si>
    <t xml:space="preserve">Abrir, baixar, navegar, modos de leitura, zoom, ir para página, pré-carga, registrar progresso, retomar, marcar lido.</t>
  </si>
  <si>
    <t xml:space="preserve">UC3</t>
  </si>
  <si>
    <t xml:space="preserve">Biblioteca, Histórico e Relatórios</t>
  </si>
  <si>
    <t xml:space="preserve">Adicionar, remover, criar coleção, listar coleções, histórico, marcar manual, gerar relatórios (3 tipos), exportar.</t>
  </si>
  <si>
    <t xml:space="preserve">UC4</t>
  </si>
  <si>
    <t xml:space="preserve">Tradução Automática (overlay)</t>
  </si>
  <si>
    <t xml:space="preserve">Detecção de regiões, OCR, tradução, cache, render overlay, alternar original/traduzida, modo lote.</t>
  </si>
  <si>
    <t xml:space="preserve">TOTAL UUCW</t>
  </si>
  <si>
    <t xml:space="preserve">1 a 3</t>
  </si>
  <si>
    <t xml:space="preserve">Caso de uso simples, fluxo único e curto.</t>
  </si>
  <si>
    <t xml:space="preserve">4 a 7</t>
  </si>
  <si>
    <t xml:space="preserve">Caso de uso com fluxos alternativos moderados.</t>
  </si>
  <si>
    <t xml:space="preserve">≥ 8</t>
  </si>
  <si>
    <t xml:space="preserve">Caso de uso com múltiplos fluxos, exceções e regras.</t>
  </si>
  <si>
    <t xml:space="preserve">TCF — Technical Complexity Factor</t>
  </si>
  <si>
    <t xml:space="preserve">TCF = 0,60 + 0,01 × Σ(Peso × Rating). Rating de 0 (irrelevante) a 5 (essencial).</t>
  </si>
  <si>
    <t xml:space="preserve">Fator técnico</t>
  </si>
  <si>
    <t xml:space="preserve">Rating (0-5)</t>
  </si>
  <si>
    <t xml:space="preserve">Contribuição</t>
  </si>
  <si>
    <t xml:space="preserve">T1</t>
  </si>
  <si>
    <t xml:space="preserve">Sistema distribuído</t>
  </si>
  <si>
    <t xml:space="preserve">Consome APIs externas (MangaDex, tradução), mas processamento principal é local.</t>
  </si>
  <si>
    <t xml:space="preserve">T2</t>
  </si>
  <si>
    <t xml:space="preserve">Performance / tempo de resposta</t>
  </si>
  <si>
    <t xml:space="preserve">Leitor de mangá exige resposta rápida ao virar página.</t>
  </si>
  <si>
    <t xml:space="preserve">T3</t>
  </si>
  <si>
    <t xml:space="preserve">Eficiência do usuário final</t>
  </si>
  <si>
    <t xml:space="preserve">Atalhos de teclado e UX fluida são essenciais.</t>
  </si>
  <si>
    <t xml:space="preserve">T4</t>
  </si>
  <si>
    <t xml:space="preserve">Processamento interno complexo</t>
  </si>
  <si>
    <t xml:space="preserve">OCR e tradução automática no UC4 envolvem algoritmos pesados.</t>
  </si>
  <si>
    <t xml:space="preserve">T5</t>
  </si>
  <si>
    <t xml:space="preserve">Reuso de código</t>
  </si>
  <si>
    <t xml:space="preserve">Service e Repository compartilhados entre UCs.</t>
  </si>
  <si>
    <t xml:space="preserve">T6</t>
  </si>
  <si>
    <t xml:space="preserve">Facilidade de instalação</t>
  </si>
  <si>
    <t xml:space="preserve">Maven com dependências; usuário precisa instalar JRE e Tesseract.</t>
  </si>
  <si>
    <t xml:space="preserve">T7</t>
  </si>
  <si>
    <t xml:space="preserve">Facilidade de uso</t>
  </si>
  <si>
    <t xml:space="preserve">Público leigo; UI deve ser autoexplicativa.</t>
  </si>
  <si>
    <t xml:space="preserve">T8</t>
  </si>
  <si>
    <t xml:space="preserve">Portabilidade</t>
  </si>
  <si>
    <t xml:space="preserve">JavaFX é multiplataforma; Tesseract exige instalação por SO.</t>
  </si>
  <si>
    <t xml:space="preserve">T9</t>
  </si>
  <si>
    <t xml:space="preserve">Facilidade de mudança</t>
  </si>
  <si>
    <t xml:space="preserve">Arquitetura em camadas favorece evolução.</t>
  </si>
  <si>
    <t xml:space="preserve">T10</t>
  </si>
  <si>
    <t xml:space="preserve">Concorrência</t>
  </si>
  <si>
    <t xml:space="preserve">Pré-carga assíncrona e chamadas HTTP simultâneas.</t>
  </si>
  <si>
    <t xml:space="preserve">T11</t>
  </si>
  <si>
    <t xml:space="preserve">Recursos de segurança</t>
  </si>
  <si>
    <t xml:space="preserve">Sem autenticação; dados locais sem informação sensível.</t>
  </si>
  <si>
    <t xml:space="preserve">T12</t>
  </si>
  <si>
    <t xml:space="preserve">Acesso por terceiros</t>
  </si>
  <si>
    <t xml:space="preserve">Apenas consome APIs públicas; não expõe API própria.</t>
  </si>
  <si>
    <t xml:space="preserve">T13</t>
  </si>
  <si>
    <t xml:space="preserve">Treinamento especial</t>
  </si>
  <si>
    <t xml:space="preserve">Usuário comum não precisa de treinamento.</t>
  </si>
  <si>
    <t xml:space="preserve">TFactor</t>
  </si>
  <si>
    <t xml:space="preserve">TCF = 0,60 + 0,01 × TFactor</t>
  </si>
  <si>
    <t xml:space="preserve">Fator de complexidade técnica</t>
  </si>
  <si>
    <t xml:space="preserve">Rating</t>
  </si>
  <si>
    <t xml:space="preserve">Significado</t>
  </si>
  <si>
    <t xml:space="preserve">Fator irrelevante / não se aplica.</t>
  </si>
  <si>
    <t xml:space="preserve">Pouca influência.</t>
  </si>
  <si>
    <t xml:space="preserve">Influência moderada.</t>
  </si>
  <si>
    <t xml:space="preserve">Influência média.</t>
  </si>
  <si>
    <t xml:space="preserve">Influência considerável.</t>
  </si>
  <si>
    <t xml:space="preserve">Influência essencial.</t>
  </si>
  <si>
    <t xml:space="preserve">ECF — Environmental Complexity Factor</t>
  </si>
  <si>
    <t xml:space="preserve">ECF = 1,40 − 0,03 × Σ(Peso × Rating). Atenção: E7 e E8 têm peso negativo.</t>
  </si>
  <si>
    <t xml:space="preserve">Fator ambiental</t>
  </si>
  <si>
    <t xml:space="preserve">E1</t>
  </si>
  <si>
    <t xml:space="preserve">Familiaridade com a técnica (UCP / iterativo)</t>
  </si>
  <si>
    <t xml:space="preserve">Equipe tem conhecimento básico de UCP.</t>
  </si>
  <si>
    <t xml:space="preserve">E2</t>
  </si>
  <si>
    <t xml:space="preserve">Experiência na aplicação (domínio)</t>
  </si>
  <si>
    <t xml:space="preserve">Conhecimento de mangás e leitores existentes.</t>
  </si>
  <si>
    <t xml:space="preserve">E3</t>
  </si>
  <si>
    <t xml:space="preserve">Experiência em orientação a objetos</t>
  </si>
  <si>
    <t xml:space="preserve">Todos com formação em OO.</t>
  </si>
  <si>
    <t xml:space="preserve">E4</t>
  </si>
  <si>
    <t xml:space="preserve">Capacidade do analista líder</t>
  </si>
  <si>
    <t xml:space="preserve">Líder com experiência em projetos acadêmicos.</t>
  </si>
  <si>
    <t xml:space="preserve">E5</t>
  </si>
  <si>
    <t xml:space="preserve">Motivação</t>
  </si>
  <si>
    <t xml:space="preserve">Tema escolhido pela equipe, alto engajamento.</t>
  </si>
  <si>
    <t xml:space="preserve">E6</t>
  </si>
  <si>
    <t xml:space="preserve">Estabilidade dos requisitos</t>
  </si>
  <si>
    <t xml:space="preserve">Casos de uso bem definidos desde a Sprint 1.</t>
  </si>
  <si>
    <t xml:space="preserve">E7</t>
  </si>
  <si>
    <t xml:space="preserve">Membros em tempo parcial</t>
  </si>
  <si>
    <t xml:space="preserve">Estudantes equilibrando estudos e outras disciplinas.</t>
  </si>
  <si>
    <t xml:space="preserve">E8</t>
  </si>
  <si>
    <t xml:space="preserve">Linguagem de programação difícil</t>
  </si>
  <si>
    <t xml:space="preserve">Java é familiar à equipe; JavaFX requer aprendizado.</t>
  </si>
  <si>
    <t xml:space="preserve">EFactor</t>
  </si>
  <si>
    <t xml:space="preserve">ECF = 1,40 − 0,03 × EFactor</t>
  </si>
  <si>
    <t xml:space="preserve">Fator de complexidade ambiental</t>
  </si>
  <si>
    <t xml:space="preserve">Notas</t>
  </si>
  <si>
    <t xml:space="preserve">• Fator E7 negativo: quanto mais membros em tempo parcial, MENOR a produtividade.</t>
  </si>
  <si>
    <t xml:space="preserve">• Fator E8 negativo: quanto mais difícil a linguagem, MENOR a produtividade.</t>
  </si>
  <si>
    <t xml:space="preserve">• Para todos os demais, rating mais alto reflete cenário mais favorável.</t>
  </si>
  <si>
    <t xml:space="preserve">• ECF típico está entre 0,80 e 1,30; valores fora indicam contexto extremo.</t>
  </si>
  <si>
    <t xml:space="preserve">Distribuição de Esforço por Caso de Uso</t>
  </si>
  <si>
    <t xml:space="preserve">Distribuição proporcional ao peso UUCW de cada UC.</t>
  </si>
  <si>
    <t xml:space="preserve">UC</t>
  </si>
  <si>
    <t xml:space="preserve">Nome</t>
  </si>
  <si>
    <t xml:space="preserve">Peso UUCW</t>
  </si>
  <si>
    <t xml:space="preserve">% do esforço</t>
  </si>
  <si>
    <t xml:space="preserve">Horas totais</t>
  </si>
  <si>
    <t xml:space="preserve">Horas / dev</t>
  </si>
  <si>
    <t xml:space="preserve">Catálogo e Busca</t>
  </si>
  <si>
    <t xml:space="preserve">Biblioteca, Histórico, Relatórios</t>
  </si>
  <si>
    <t xml:space="preserve">Tradução Automática</t>
  </si>
  <si>
    <t xml:space="preserve">TOTAL</t>
  </si>
  <si>
    <t xml:space="preserve">Sprint</t>
  </si>
  <si>
    <t xml:space="preserve">Foco</t>
  </si>
  <si>
    <t xml:space="preserve">% acumulado</t>
  </si>
  <si>
    <t xml:space="preserve">Horas planejadas (total equipe)</t>
  </si>
  <si>
    <t xml:space="preserve">Sprint 1</t>
  </si>
  <si>
    <t xml:space="preserve">Planejamento (este documento)</t>
  </si>
  <si>
    <t xml:space="preserve">Sprint 2</t>
  </si>
  <si>
    <t xml:space="preserve">Implementação UC1 + parte de UC2</t>
  </si>
  <si>
    <t xml:space="preserve">Sprint 3</t>
  </si>
  <si>
    <t xml:space="preserve">Finalizar UC2 + UC3</t>
  </si>
  <si>
    <t xml:space="preserve">Sprint 4</t>
  </si>
  <si>
    <t xml:space="preserve">UC4 — Tradução</t>
  </si>
  <si>
    <t xml:space="preserve">Sprint 5</t>
  </si>
  <si>
    <t xml:space="preserve">QA, testes e refinamento</t>
  </si>
  <si>
    <t xml:space="preserve">Apresentação</t>
  </si>
  <si>
    <t xml:space="preserve">Polimento e demonstração</t>
  </si>
  <si>
    <t xml:space="preserve">VERIFICAR (deve somar 100%)</t>
  </si>
  <si>
    <t xml:space="preserve">• A coluna "% acumulado" pode ser ajustada conforme a evolução real do projeto.</t>
  </si>
  <si>
    <t xml:space="preserve">• A distribuição inicial reserva 5% para Sprint 1 (planejamento), com pico de 30% nas sprints 2 e 3.</t>
  </si>
  <si>
    <t xml:space="preserve">• As horas por dev consideram divisão igualitária entre os 3 membros da equipe.</t>
  </si>
  <si>
    <t xml:space="preserve">• Recalibre os percentuais a cada retrospectiva, comparando estimado x real.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</si>
</sst>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0.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2"/>
      <color rgb="FF40404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EEAF6"/>
      </patternFill>
    </fill>
    <fill>
      <patternFill patternType="solid">
        <fgColor rgb="FFFFE6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2.05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n">
        <v>5</v>
      </c>
    </row>
    <row r="9" customFormat="false" ht="15" hidden="false" customHeight="false" outlineLevel="0" collapsed="false">
      <c r="A9" s="5" t="s">
        <v>9</v>
      </c>
      <c r="B9" s="5" t="s">
        <v>10</v>
      </c>
      <c r="C9" s="5" t="s">
        <v>11</v>
      </c>
    </row>
    <row r="10" customFormat="false" ht="15" hidden="false" customHeight="false" outlineLevel="0" collapsed="false">
      <c r="A10" s="3" t="s">
        <v>12</v>
      </c>
      <c r="B10" s="6" t="n">
        <f aca="false">'Atores (UAW)'!E10</f>
        <v>5</v>
      </c>
      <c r="C10" s="7" t="s">
        <v>13</v>
      </c>
    </row>
    <row r="11" customFormat="false" ht="15" hidden="false" customHeight="false" outlineLevel="0" collapsed="false">
      <c r="A11" s="3" t="s">
        <v>14</v>
      </c>
      <c r="B11" s="6" t="n">
        <f aca="false">'Casos de Uso (UUCW)'!F10</f>
        <v>55</v>
      </c>
      <c r="C11" s="7" t="s">
        <v>15</v>
      </c>
    </row>
    <row r="12" customFormat="false" ht="15" hidden="false" customHeight="false" outlineLevel="0" collapsed="false">
      <c r="A12" s="3" t="s">
        <v>16</v>
      </c>
      <c r="B12" s="6" t="n">
        <f aca="false">B10+B11</f>
        <v>60</v>
      </c>
      <c r="C12" s="7" t="s">
        <v>17</v>
      </c>
    </row>
    <row r="13" customFormat="false" ht="15" hidden="false" customHeight="false" outlineLevel="0" collapsed="false">
      <c r="A13" s="3" t="s">
        <v>18</v>
      </c>
      <c r="B13" s="8" t="n">
        <f aca="false">TCF!F19</f>
        <v>38.5</v>
      </c>
      <c r="C13" s="7" t="s">
        <v>19</v>
      </c>
    </row>
    <row r="14" customFormat="false" ht="15" hidden="false" customHeight="false" outlineLevel="0" collapsed="false">
      <c r="A14" s="3" t="s">
        <v>20</v>
      </c>
      <c r="B14" s="8" t="n">
        <f aca="false">0.6+0.01*B13</f>
        <v>0.985</v>
      </c>
      <c r="C14" s="7" t="s">
        <v>21</v>
      </c>
    </row>
    <row r="15" customFormat="false" ht="15" hidden="false" customHeight="false" outlineLevel="0" collapsed="false">
      <c r="A15" s="3" t="s">
        <v>22</v>
      </c>
      <c r="B15" s="8" t="n">
        <f aca="false">ECF!F14</f>
        <v>15.5</v>
      </c>
      <c r="C15" s="7" t="s">
        <v>23</v>
      </c>
    </row>
    <row r="16" customFormat="false" ht="15" hidden="false" customHeight="false" outlineLevel="0" collapsed="false">
      <c r="A16" s="3" t="s">
        <v>24</v>
      </c>
      <c r="B16" s="8" t="n">
        <f aca="false">1.4-0.03*B15</f>
        <v>0.935</v>
      </c>
      <c r="C16" s="7" t="s">
        <v>25</v>
      </c>
    </row>
    <row r="17" customFormat="false" ht="15" hidden="false" customHeight="false" outlineLevel="0" collapsed="false">
      <c r="A17" s="3" t="s">
        <v>26</v>
      </c>
      <c r="B17" s="8" t="n">
        <f aca="false">B12*B14*B16</f>
        <v>55.2585</v>
      </c>
      <c r="C17" s="7" t="s">
        <v>27</v>
      </c>
    </row>
    <row r="18" customFormat="false" ht="15" hidden="false" customHeight="false" outlineLevel="0" collapsed="false">
      <c r="A18" s="3" t="s">
        <v>28</v>
      </c>
      <c r="B18" s="9" t="n">
        <v>20</v>
      </c>
      <c r="C18" s="7" t="s">
        <v>29</v>
      </c>
    </row>
    <row r="19" customFormat="false" ht="15" hidden="false" customHeight="false" outlineLevel="0" collapsed="false">
      <c r="A19" s="3" t="s">
        <v>30</v>
      </c>
      <c r="B19" s="10" t="n">
        <f aca="false">B17*B18</f>
        <v>1105.17</v>
      </c>
      <c r="C19" s="7" t="s">
        <v>31</v>
      </c>
    </row>
    <row r="20" customFormat="false" ht="15" hidden="false" customHeight="false" outlineLevel="0" collapsed="false">
      <c r="A20" s="3" t="s">
        <v>32</v>
      </c>
      <c r="B20" s="10" t="n">
        <f aca="false">B19/3</f>
        <v>368.39</v>
      </c>
      <c r="C20" s="7" t="s">
        <v>33</v>
      </c>
    </row>
    <row r="21" customFormat="false" ht="15" hidden="false" customHeight="false" outlineLevel="0" collapsed="false">
      <c r="A21" s="3" t="s">
        <v>34</v>
      </c>
      <c r="B21" s="10" t="n">
        <f aca="false">B20/B7</f>
        <v>73.678</v>
      </c>
      <c r="C21" s="7" t="s">
        <v>35</v>
      </c>
    </row>
    <row r="22" customFormat="false" ht="26.85" hidden="false" customHeight="false" outlineLevel="0" collapsed="false">
      <c r="A22" s="3" t="s">
        <v>36</v>
      </c>
      <c r="B22" s="6" t="str">
        <f aca="false">IF(B21&gt;60,"⚠ Acima do recomendado","✓ Dentro do esperado")</f>
        <v>⚠ Acima do recomendado</v>
      </c>
      <c r="C22" s="7" t="s">
        <v>37</v>
      </c>
    </row>
    <row r="24" customFormat="false" ht="15" hidden="false" customHeight="true" outlineLevel="0" collapsed="false">
      <c r="A24" s="11" t="s">
        <v>38</v>
      </c>
      <c r="B24" s="11"/>
      <c r="C24" s="11"/>
    </row>
    <row r="25" customFormat="false" ht="15" hidden="false" customHeight="true" outlineLevel="0" collapsed="false">
      <c r="A25" s="12" t="s">
        <v>39</v>
      </c>
      <c r="B25" s="12"/>
      <c r="C25" s="12"/>
    </row>
    <row r="26" customFormat="false" ht="15" hidden="false" customHeight="true" outlineLevel="0" collapsed="false">
      <c r="A26" s="12" t="s">
        <v>40</v>
      </c>
      <c r="B26" s="12"/>
      <c r="C26" s="12"/>
    </row>
    <row r="27" customFormat="false" ht="15" hidden="false" customHeight="true" outlineLevel="0" collapsed="false">
      <c r="A27" s="12" t="s">
        <v>41</v>
      </c>
      <c r="B27" s="12"/>
      <c r="C27" s="12"/>
    </row>
    <row r="28" customFormat="false" ht="15" hidden="false" customHeight="true" outlineLevel="0" collapsed="false">
      <c r="A28" s="12" t="s">
        <v>42</v>
      </c>
      <c r="B28" s="12"/>
      <c r="C28" s="12"/>
    </row>
    <row r="29" customFormat="false" ht="15" hidden="false" customHeight="true" outlineLevel="0" collapsed="false">
      <c r="A29" s="12" t="s">
        <v>43</v>
      </c>
      <c r="B29" s="12"/>
      <c r="C29" s="12"/>
    </row>
    <row r="30" customFormat="false" ht="15" hidden="false" customHeight="true" outlineLevel="0" collapsed="false">
      <c r="A30" s="12" t="s">
        <v>44</v>
      </c>
      <c r="B30" s="12"/>
      <c r="C30" s="12"/>
    </row>
  </sheetData>
  <mergeCells count="9">
    <mergeCell ref="A1:C1"/>
    <mergeCell ref="A2:C2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32"/>
  </cols>
  <sheetData>
    <row r="1" customFormat="false" ht="22.05" hidden="false" customHeight="true" outlineLevel="0" collapsed="false">
      <c r="A1" s="1" t="s">
        <v>45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11</v>
      </c>
    </row>
    <row r="5" customFormat="false" ht="26.85" hidden="false" customHeight="false" outlineLevel="0" collapsed="false">
      <c r="A5" s="7" t="s">
        <v>52</v>
      </c>
      <c r="B5" s="7" t="s">
        <v>53</v>
      </c>
      <c r="C5" s="7" t="s">
        <v>54</v>
      </c>
      <c r="D5" s="7" t="s">
        <v>55</v>
      </c>
      <c r="E5" s="13" t="n">
        <v>3</v>
      </c>
      <c r="F5" s="7" t="s">
        <v>56</v>
      </c>
    </row>
    <row r="6" customFormat="false" ht="39.55" hidden="false" customHeight="false" outlineLevel="0" collapsed="false">
      <c r="A6" s="14" t="s">
        <v>57</v>
      </c>
      <c r="B6" s="14" t="s">
        <v>58</v>
      </c>
      <c r="C6" s="14" t="s">
        <v>59</v>
      </c>
      <c r="D6" s="14" t="s">
        <v>60</v>
      </c>
      <c r="E6" s="15" t="n">
        <v>1</v>
      </c>
      <c r="F6" s="14" t="s">
        <v>61</v>
      </c>
    </row>
    <row r="7" customFormat="false" ht="39.55" hidden="false" customHeight="false" outlineLevel="0" collapsed="false">
      <c r="A7" s="7" t="s">
        <v>62</v>
      </c>
      <c r="B7" s="7" t="s">
        <v>63</v>
      </c>
      <c r="C7" s="7" t="s">
        <v>59</v>
      </c>
      <c r="D7" s="7" t="s">
        <v>64</v>
      </c>
      <c r="E7" s="13" t="n">
        <v>1</v>
      </c>
      <c r="F7" s="7" t="s">
        <v>65</v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16" t="s">
        <v>66</v>
      </c>
      <c r="B10" s="16"/>
      <c r="C10" s="16"/>
      <c r="D10" s="16"/>
      <c r="E10" s="6" t="n">
        <f aca="false">SUM(E5:E9)</f>
        <v>5</v>
      </c>
      <c r="F10" s="17"/>
    </row>
    <row r="12" customFormat="false" ht="15" hidden="false" customHeight="false" outlineLevel="0" collapsed="false">
      <c r="A12" s="18" t="s">
        <v>67</v>
      </c>
    </row>
    <row r="13" customFormat="false" ht="15" hidden="false" customHeight="false" outlineLevel="0" collapsed="false">
      <c r="A13" s="19" t="s">
        <v>49</v>
      </c>
      <c r="B13" s="19" t="s">
        <v>51</v>
      </c>
      <c r="C13" s="19" t="s">
        <v>68</v>
      </c>
      <c r="D13" s="19"/>
      <c r="E13" s="19"/>
      <c r="F13" s="19"/>
    </row>
    <row r="14" customFormat="false" ht="15" hidden="false" customHeight="false" outlineLevel="0" collapsed="false">
      <c r="A14" s="4" t="s">
        <v>59</v>
      </c>
      <c r="B14" s="20" t="n">
        <v>1</v>
      </c>
      <c r="C14" s="4" t="s">
        <v>69</v>
      </c>
      <c r="D14" s="4"/>
      <c r="E14" s="4"/>
      <c r="F14" s="4"/>
    </row>
    <row r="15" customFormat="false" ht="15" hidden="false" customHeight="false" outlineLevel="0" collapsed="false">
      <c r="A15" s="4" t="s">
        <v>70</v>
      </c>
      <c r="B15" s="20" t="n">
        <v>2</v>
      </c>
      <c r="C15" s="4" t="s">
        <v>71</v>
      </c>
      <c r="D15" s="4"/>
      <c r="E15" s="4"/>
      <c r="F15" s="4"/>
    </row>
    <row r="16" customFormat="false" ht="15" hidden="false" customHeight="false" outlineLevel="0" collapsed="false">
      <c r="A16" s="4" t="s">
        <v>54</v>
      </c>
      <c r="B16" s="20" t="n">
        <v>3</v>
      </c>
      <c r="C16" s="4" t="s">
        <v>72</v>
      </c>
      <c r="D16" s="4"/>
      <c r="E16" s="4"/>
      <c r="F16" s="4"/>
    </row>
  </sheetData>
  <mergeCells count="6">
    <mergeCell ref="A1:F1"/>
    <mergeCell ref="A2:F2"/>
    <mergeCell ref="A10:D10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0"/>
  </cols>
  <sheetData>
    <row r="1" customFormat="false" ht="22.05" hidden="false" customHeight="true" outlineLevel="0" collapsed="false">
      <c r="A1" s="1" t="s">
        <v>73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47</v>
      </c>
      <c r="B4" s="5" t="s">
        <v>75</v>
      </c>
      <c r="C4" s="5" t="s">
        <v>76</v>
      </c>
      <c r="D4" s="5" t="s">
        <v>49</v>
      </c>
      <c r="E4" s="5" t="s">
        <v>50</v>
      </c>
      <c r="F4" s="5" t="s">
        <v>51</v>
      </c>
    </row>
    <row r="5" customFormat="false" ht="39.55" hidden="false" customHeight="false" outlineLevel="0" collapsed="false">
      <c r="A5" s="7" t="s">
        <v>77</v>
      </c>
      <c r="B5" s="7" t="s">
        <v>78</v>
      </c>
      <c r="C5" s="20" t="n">
        <v>6</v>
      </c>
      <c r="D5" s="7" t="s">
        <v>70</v>
      </c>
      <c r="E5" s="7" t="s">
        <v>79</v>
      </c>
      <c r="F5" s="13" t="n">
        <v>10</v>
      </c>
    </row>
    <row r="6" customFormat="false" ht="52.2" hidden="false" customHeight="false" outlineLevel="0" collapsed="false">
      <c r="A6" s="14" t="s">
        <v>80</v>
      </c>
      <c r="B6" s="14" t="s">
        <v>81</v>
      </c>
      <c r="C6" s="21" t="n">
        <v>10</v>
      </c>
      <c r="D6" s="14" t="s">
        <v>54</v>
      </c>
      <c r="E6" s="14" t="s">
        <v>82</v>
      </c>
      <c r="F6" s="15" t="n">
        <v>15</v>
      </c>
    </row>
    <row r="7" customFormat="false" ht="52.2" hidden="false" customHeight="false" outlineLevel="0" collapsed="false">
      <c r="A7" s="7" t="s">
        <v>83</v>
      </c>
      <c r="B7" s="7" t="s">
        <v>84</v>
      </c>
      <c r="C7" s="20" t="n">
        <v>9</v>
      </c>
      <c r="D7" s="7" t="s">
        <v>54</v>
      </c>
      <c r="E7" s="7" t="s">
        <v>85</v>
      </c>
      <c r="F7" s="13" t="n">
        <v>15</v>
      </c>
    </row>
    <row r="8" customFormat="false" ht="52.2" hidden="false" customHeight="false" outlineLevel="0" collapsed="false">
      <c r="A8" s="14" t="s">
        <v>86</v>
      </c>
      <c r="B8" s="14" t="s">
        <v>87</v>
      </c>
      <c r="C8" s="21" t="n">
        <v>7</v>
      </c>
      <c r="D8" s="14" t="s">
        <v>54</v>
      </c>
      <c r="E8" s="14" t="s">
        <v>88</v>
      </c>
      <c r="F8" s="15" t="n">
        <v>15</v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16" t="s">
        <v>89</v>
      </c>
      <c r="B10" s="16"/>
      <c r="C10" s="16"/>
      <c r="D10" s="16"/>
      <c r="E10" s="16"/>
      <c r="F10" s="6" t="n">
        <f aca="false">SUM(F5:F9)</f>
        <v>55</v>
      </c>
    </row>
    <row r="12" customFormat="false" ht="15" hidden="false" customHeight="false" outlineLevel="0" collapsed="false">
      <c r="A12" s="18" t="s">
        <v>67</v>
      </c>
    </row>
    <row r="13" customFormat="false" ht="15" hidden="false" customHeight="false" outlineLevel="0" collapsed="false">
      <c r="A13" s="19" t="s">
        <v>49</v>
      </c>
      <c r="B13" s="19" t="s">
        <v>51</v>
      </c>
      <c r="C13" s="19" t="s">
        <v>76</v>
      </c>
      <c r="D13" s="19" t="s">
        <v>68</v>
      </c>
      <c r="E13" s="19"/>
      <c r="F13" s="19"/>
    </row>
    <row r="14" customFormat="false" ht="15" hidden="false" customHeight="false" outlineLevel="0" collapsed="false">
      <c r="A14" s="22" t="s">
        <v>59</v>
      </c>
      <c r="B14" s="23" t="n">
        <v>5</v>
      </c>
      <c r="C14" s="23" t="s">
        <v>90</v>
      </c>
      <c r="D14" s="22" t="s">
        <v>91</v>
      </c>
      <c r="E14" s="22"/>
      <c r="F14" s="22"/>
    </row>
    <row r="15" customFormat="false" ht="15" hidden="false" customHeight="false" outlineLevel="0" collapsed="false">
      <c r="A15" s="22" t="s">
        <v>70</v>
      </c>
      <c r="B15" s="23" t="n">
        <v>10</v>
      </c>
      <c r="C15" s="23" t="s">
        <v>92</v>
      </c>
      <c r="D15" s="22" t="s">
        <v>93</v>
      </c>
      <c r="E15" s="22"/>
      <c r="F15" s="22"/>
    </row>
    <row r="16" customFormat="false" ht="15" hidden="false" customHeight="false" outlineLevel="0" collapsed="false">
      <c r="A16" s="22" t="s">
        <v>54</v>
      </c>
      <c r="B16" s="23" t="n">
        <v>15</v>
      </c>
      <c r="C16" s="23" t="s">
        <v>94</v>
      </c>
      <c r="D16" s="22" t="s">
        <v>95</v>
      </c>
      <c r="E16" s="22"/>
      <c r="F16" s="22"/>
    </row>
  </sheetData>
  <mergeCells count="6">
    <mergeCell ref="A1:F1"/>
    <mergeCell ref="A2:F2"/>
    <mergeCell ref="A10:E10"/>
    <mergeCell ref="D14:F14"/>
    <mergeCell ref="D15:F15"/>
    <mergeCell ref="D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22.05" hidden="false" customHeight="true" outlineLevel="0" collapsed="false">
      <c r="A1" s="1" t="s">
        <v>96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97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47</v>
      </c>
      <c r="B4" s="5" t="s">
        <v>98</v>
      </c>
      <c r="C4" s="5" t="s">
        <v>51</v>
      </c>
      <c r="D4" s="5" t="s">
        <v>99</v>
      </c>
      <c r="E4" s="5" t="s">
        <v>100</v>
      </c>
      <c r="F4" s="5" t="s">
        <v>50</v>
      </c>
    </row>
    <row r="5" customFormat="false" ht="15" hidden="false" customHeight="false" outlineLevel="0" collapsed="false">
      <c r="A5" s="23" t="s">
        <v>101</v>
      </c>
      <c r="B5" s="22" t="s">
        <v>102</v>
      </c>
      <c r="C5" s="24" t="n">
        <v>2</v>
      </c>
      <c r="D5" s="25" t="n">
        <v>2</v>
      </c>
      <c r="E5" s="26" t="n">
        <f aca="false">C5*D5</f>
        <v>4</v>
      </c>
      <c r="F5" s="22" t="s">
        <v>103</v>
      </c>
    </row>
    <row r="6" customFormat="false" ht="15" hidden="false" customHeight="false" outlineLevel="0" collapsed="false">
      <c r="A6" s="27" t="s">
        <v>104</v>
      </c>
      <c r="B6" s="28" t="s">
        <v>105</v>
      </c>
      <c r="C6" s="29" t="n">
        <v>1</v>
      </c>
      <c r="D6" s="25" t="n">
        <v>4</v>
      </c>
      <c r="E6" s="30" t="n">
        <f aca="false">C6*D6</f>
        <v>4</v>
      </c>
      <c r="F6" s="28" t="s">
        <v>106</v>
      </c>
    </row>
    <row r="7" customFormat="false" ht="15" hidden="false" customHeight="false" outlineLevel="0" collapsed="false">
      <c r="A7" s="23" t="s">
        <v>107</v>
      </c>
      <c r="B7" s="22" t="s">
        <v>108</v>
      </c>
      <c r="C7" s="24" t="n">
        <v>1</v>
      </c>
      <c r="D7" s="25" t="n">
        <v>4</v>
      </c>
      <c r="E7" s="26" t="n">
        <f aca="false">C7*D7</f>
        <v>4</v>
      </c>
      <c r="F7" s="22" t="s">
        <v>109</v>
      </c>
    </row>
    <row r="8" customFormat="false" ht="15" hidden="false" customHeight="false" outlineLevel="0" collapsed="false">
      <c r="A8" s="27" t="s">
        <v>110</v>
      </c>
      <c r="B8" s="28" t="s">
        <v>111</v>
      </c>
      <c r="C8" s="29" t="n">
        <v>1</v>
      </c>
      <c r="D8" s="25" t="n">
        <v>5</v>
      </c>
      <c r="E8" s="30" t="n">
        <f aca="false">C8*D8</f>
        <v>5</v>
      </c>
      <c r="F8" s="28" t="s">
        <v>112</v>
      </c>
    </row>
    <row r="9" customFormat="false" ht="15" hidden="false" customHeight="false" outlineLevel="0" collapsed="false">
      <c r="A9" s="23" t="s">
        <v>113</v>
      </c>
      <c r="B9" s="22" t="s">
        <v>114</v>
      </c>
      <c r="C9" s="24" t="n">
        <v>1</v>
      </c>
      <c r="D9" s="25" t="n">
        <v>3</v>
      </c>
      <c r="E9" s="26" t="n">
        <f aca="false">C9*D9</f>
        <v>3</v>
      </c>
      <c r="F9" s="22" t="s">
        <v>115</v>
      </c>
    </row>
    <row r="10" customFormat="false" ht="15" hidden="false" customHeight="false" outlineLevel="0" collapsed="false">
      <c r="A10" s="27" t="s">
        <v>116</v>
      </c>
      <c r="B10" s="28" t="s">
        <v>117</v>
      </c>
      <c r="C10" s="29" t="n">
        <v>0.5</v>
      </c>
      <c r="D10" s="25" t="n">
        <v>3</v>
      </c>
      <c r="E10" s="30" t="n">
        <f aca="false">C10*D10</f>
        <v>1.5</v>
      </c>
      <c r="F10" s="28" t="s">
        <v>118</v>
      </c>
    </row>
    <row r="11" customFormat="false" ht="15" hidden="false" customHeight="false" outlineLevel="0" collapsed="false">
      <c r="A11" s="23" t="s">
        <v>119</v>
      </c>
      <c r="B11" s="22" t="s">
        <v>120</v>
      </c>
      <c r="C11" s="24" t="n">
        <v>0.5</v>
      </c>
      <c r="D11" s="25" t="n">
        <v>4</v>
      </c>
      <c r="E11" s="26" t="n">
        <f aca="false">C11*D11</f>
        <v>2</v>
      </c>
      <c r="F11" s="22" t="s">
        <v>121</v>
      </c>
    </row>
    <row r="12" customFormat="false" ht="15" hidden="false" customHeight="false" outlineLevel="0" collapsed="false">
      <c r="A12" s="27" t="s">
        <v>122</v>
      </c>
      <c r="B12" s="28" t="s">
        <v>123</v>
      </c>
      <c r="C12" s="29" t="n">
        <v>2</v>
      </c>
      <c r="D12" s="25" t="n">
        <v>3</v>
      </c>
      <c r="E12" s="30" t="n">
        <f aca="false">C12*D12</f>
        <v>6</v>
      </c>
      <c r="F12" s="28" t="s">
        <v>124</v>
      </c>
    </row>
    <row r="13" customFormat="false" ht="15" hidden="false" customHeight="false" outlineLevel="0" collapsed="false">
      <c r="A13" s="23" t="s">
        <v>125</v>
      </c>
      <c r="B13" s="22" t="s">
        <v>126</v>
      </c>
      <c r="C13" s="24" t="n">
        <v>1</v>
      </c>
      <c r="D13" s="25" t="n">
        <v>3</v>
      </c>
      <c r="E13" s="26" t="n">
        <f aca="false">C13*D13</f>
        <v>3</v>
      </c>
      <c r="F13" s="22" t="s">
        <v>127</v>
      </c>
    </row>
    <row r="14" customFormat="false" ht="15" hidden="false" customHeight="false" outlineLevel="0" collapsed="false">
      <c r="A14" s="27" t="s">
        <v>128</v>
      </c>
      <c r="B14" s="28" t="s">
        <v>129</v>
      </c>
      <c r="C14" s="29" t="n">
        <v>1</v>
      </c>
      <c r="D14" s="25" t="n">
        <v>3</v>
      </c>
      <c r="E14" s="30" t="n">
        <f aca="false">C14*D14</f>
        <v>3</v>
      </c>
      <c r="F14" s="28" t="s">
        <v>130</v>
      </c>
    </row>
    <row r="15" customFormat="false" ht="15" hidden="false" customHeight="false" outlineLevel="0" collapsed="false">
      <c r="A15" s="23" t="s">
        <v>131</v>
      </c>
      <c r="B15" s="22" t="s">
        <v>132</v>
      </c>
      <c r="C15" s="24" t="n">
        <v>1</v>
      </c>
      <c r="D15" s="25" t="n">
        <v>1</v>
      </c>
      <c r="E15" s="26" t="n">
        <f aca="false">C15*D15</f>
        <v>1</v>
      </c>
      <c r="F15" s="22" t="s">
        <v>133</v>
      </c>
    </row>
    <row r="16" customFormat="false" ht="15" hidden="false" customHeight="false" outlineLevel="0" collapsed="false">
      <c r="A16" s="27" t="s">
        <v>134</v>
      </c>
      <c r="B16" s="28" t="s">
        <v>135</v>
      </c>
      <c r="C16" s="29" t="n">
        <v>1</v>
      </c>
      <c r="D16" s="25" t="n">
        <v>1</v>
      </c>
      <c r="E16" s="30" t="n">
        <f aca="false">C16*D16</f>
        <v>1</v>
      </c>
      <c r="F16" s="28" t="s">
        <v>136</v>
      </c>
    </row>
    <row r="17" customFormat="false" ht="15" hidden="false" customHeight="false" outlineLevel="0" collapsed="false">
      <c r="A17" s="23" t="s">
        <v>137</v>
      </c>
      <c r="B17" s="22" t="s">
        <v>138</v>
      </c>
      <c r="C17" s="24" t="n">
        <v>1</v>
      </c>
      <c r="D17" s="25" t="n">
        <v>1</v>
      </c>
      <c r="E17" s="26" t="n">
        <f aca="false">C17*D17</f>
        <v>1</v>
      </c>
      <c r="F17" s="22" t="s">
        <v>139</v>
      </c>
    </row>
    <row r="19" customFormat="false" ht="15" hidden="false" customHeight="false" outlineLevel="0" collapsed="false">
      <c r="A19" s="16" t="s">
        <v>140</v>
      </c>
      <c r="B19" s="16"/>
      <c r="C19" s="16"/>
      <c r="D19" s="16"/>
      <c r="E19" s="10" t="n">
        <f aca="false">SUM(E5:E17)</f>
        <v>38.5</v>
      </c>
      <c r="F19" s="8" t="n">
        <f aca="false">E19</f>
        <v>38.5</v>
      </c>
    </row>
    <row r="20" customFormat="false" ht="15" hidden="false" customHeight="false" outlineLevel="0" collapsed="false">
      <c r="A20" s="16" t="s">
        <v>141</v>
      </c>
      <c r="B20" s="16"/>
      <c r="C20" s="16"/>
      <c r="D20" s="16"/>
      <c r="E20" s="8" t="n">
        <f aca="false">0.6+0.01*E19</f>
        <v>0.985</v>
      </c>
      <c r="F20" s="22" t="s">
        <v>142</v>
      </c>
    </row>
    <row r="23" customFormat="false" ht="15" hidden="false" customHeight="false" outlineLevel="0" collapsed="false">
      <c r="A23" s="19" t="s">
        <v>143</v>
      </c>
      <c r="B23" s="19" t="s">
        <v>144</v>
      </c>
      <c r="C23" s="19"/>
      <c r="D23" s="19"/>
      <c r="E23" s="19"/>
      <c r="F23" s="19"/>
    </row>
    <row r="24" customFormat="false" ht="15" hidden="false" customHeight="false" outlineLevel="0" collapsed="false">
      <c r="A24" s="23" t="n">
        <v>0</v>
      </c>
      <c r="B24" s="22" t="s">
        <v>145</v>
      </c>
      <c r="C24" s="22"/>
      <c r="D24" s="22"/>
      <c r="E24" s="22"/>
      <c r="F24" s="22"/>
    </row>
    <row r="25" customFormat="false" ht="15" hidden="false" customHeight="false" outlineLevel="0" collapsed="false">
      <c r="A25" s="23" t="n">
        <v>1</v>
      </c>
      <c r="B25" s="22" t="s">
        <v>146</v>
      </c>
      <c r="C25" s="22"/>
      <c r="D25" s="22"/>
      <c r="E25" s="22"/>
      <c r="F25" s="22"/>
    </row>
    <row r="26" customFormat="false" ht="15" hidden="false" customHeight="false" outlineLevel="0" collapsed="false">
      <c r="A26" s="23" t="n">
        <v>2</v>
      </c>
      <c r="B26" s="22" t="s">
        <v>147</v>
      </c>
      <c r="C26" s="22"/>
      <c r="D26" s="22"/>
      <c r="E26" s="22"/>
      <c r="F26" s="22"/>
    </row>
    <row r="27" customFormat="false" ht="15" hidden="false" customHeight="false" outlineLevel="0" collapsed="false">
      <c r="A27" s="23" t="n">
        <v>3</v>
      </c>
      <c r="B27" s="22" t="s">
        <v>148</v>
      </c>
      <c r="C27" s="22"/>
      <c r="D27" s="22"/>
      <c r="E27" s="22"/>
      <c r="F27" s="22"/>
    </row>
    <row r="28" customFormat="false" ht="15" hidden="false" customHeight="false" outlineLevel="0" collapsed="false">
      <c r="A28" s="23" t="n">
        <v>4</v>
      </c>
      <c r="B28" s="22" t="s">
        <v>149</v>
      </c>
      <c r="C28" s="22"/>
      <c r="D28" s="22"/>
      <c r="E28" s="22"/>
      <c r="F28" s="22"/>
    </row>
    <row r="29" customFormat="false" ht="15" hidden="false" customHeight="false" outlineLevel="0" collapsed="false">
      <c r="A29" s="23" t="n">
        <v>5</v>
      </c>
      <c r="B29" s="22" t="s">
        <v>150</v>
      </c>
      <c r="C29" s="22"/>
      <c r="D29" s="22"/>
      <c r="E29" s="22"/>
      <c r="F29" s="22"/>
    </row>
  </sheetData>
  <mergeCells count="10">
    <mergeCell ref="A1:F1"/>
    <mergeCell ref="A2:F2"/>
    <mergeCell ref="A19:D19"/>
    <mergeCell ref="A20:D20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22.05" hidden="false" customHeight="true" outlineLevel="0" collapsed="false">
      <c r="A1" s="1" t="s">
        <v>151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152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47</v>
      </c>
      <c r="B4" s="5" t="s">
        <v>153</v>
      </c>
      <c r="C4" s="5" t="s">
        <v>51</v>
      </c>
      <c r="D4" s="5" t="s">
        <v>99</v>
      </c>
      <c r="E4" s="5" t="s">
        <v>100</v>
      </c>
      <c r="F4" s="5" t="s">
        <v>50</v>
      </c>
    </row>
    <row r="5" customFormat="false" ht="15" hidden="false" customHeight="false" outlineLevel="0" collapsed="false">
      <c r="A5" s="23" t="s">
        <v>154</v>
      </c>
      <c r="B5" s="22" t="s">
        <v>155</v>
      </c>
      <c r="C5" s="26" t="n">
        <v>1.5</v>
      </c>
      <c r="D5" s="25" t="n">
        <v>2</v>
      </c>
      <c r="E5" s="26" t="n">
        <f aca="false">C5*D5</f>
        <v>3</v>
      </c>
      <c r="F5" s="22" t="s">
        <v>156</v>
      </c>
    </row>
    <row r="6" customFormat="false" ht="15" hidden="false" customHeight="false" outlineLevel="0" collapsed="false">
      <c r="A6" s="23" t="s">
        <v>157</v>
      </c>
      <c r="B6" s="22" t="s">
        <v>158</v>
      </c>
      <c r="C6" s="26" t="n">
        <v>0.5</v>
      </c>
      <c r="D6" s="25" t="n">
        <v>2</v>
      </c>
      <c r="E6" s="26" t="n">
        <f aca="false">C6*D6</f>
        <v>1</v>
      </c>
      <c r="F6" s="22" t="s">
        <v>159</v>
      </c>
    </row>
    <row r="7" customFormat="false" ht="15" hidden="false" customHeight="false" outlineLevel="0" collapsed="false">
      <c r="A7" s="23" t="s">
        <v>160</v>
      </c>
      <c r="B7" s="22" t="s">
        <v>161</v>
      </c>
      <c r="C7" s="26" t="n">
        <v>1</v>
      </c>
      <c r="D7" s="25" t="n">
        <v>3</v>
      </c>
      <c r="E7" s="26" t="n">
        <f aca="false">C7*D7</f>
        <v>3</v>
      </c>
      <c r="F7" s="22" t="s">
        <v>162</v>
      </c>
    </row>
    <row r="8" customFormat="false" ht="15" hidden="false" customHeight="false" outlineLevel="0" collapsed="false">
      <c r="A8" s="23" t="s">
        <v>163</v>
      </c>
      <c r="B8" s="22" t="s">
        <v>164</v>
      </c>
      <c r="C8" s="26" t="n">
        <v>0.5</v>
      </c>
      <c r="D8" s="25" t="n">
        <v>3</v>
      </c>
      <c r="E8" s="26" t="n">
        <f aca="false">C8*D8</f>
        <v>1.5</v>
      </c>
      <c r="F8" s="22" t="s">
        <v>165</v>
      </c>
    </row>
    <row r="9" customFormat="false" ht="15" hidden="false" customHeight="false" outlineLevel="0" collapsed="false">
      <c r="A9" s="23" t="s">
        <v>166</v>
      </c>
      <c r="B9" s="22" t="s">
        <v>167</v>
      </c>
      <c r="C9" s="26" t="n">
        <v>1</v>
      </c>
      <c r="D9" s="25" t="n">
        <v>4</v>
      </c>
      <c r="E9" s="26" t="n">
        <f aca="false">C9*D9</f>
        <v>4</v>
      </c>
      <c r="F9" s="22" t="s">
        <v>168</v>
      </c>
    </row>
    <row r="10" customFormat="false" ht="15" hidden="false" customHeight="false" outlineLevel="0" collapsed="false">
      <c r="A10" s="23" t="s">
        <v>169</v>
      </c>
      <c r="B10" s="22" t="s">
        <v>170</v>
      </c>
      <c r="C10" s="26" t="n">
        <v>2</v>
      </c>
      <c r="D10" s="25" t="n">
        <v>4</v>
      </c>
      <c r="E10" s="26" t="n">
        <f aca="false">C10*D10</f>
        <v>8</v>
      </c>
      <c r="F10" s="22" t="s">
        <v>171</v>
      </c>
    </row>
    <row r="11" customFormat="false" ht="15" hidden="false" customHeight="false" outlineLevel="0" collapsed="false">
      <c r="A11" s="23" t="s">
        <v>172</v>
      </c>
      <c r="B11" s="22" t="s">
        <v>173</v>
      </c>
      <c r="C11" s="26" t="n">
        <v>-1</v>
      </c>
      <c r="D11" s="25" t="n">
        <v>3</v>
      </c>
      <c r="E11" s="26" t="n">
        <f aca="false">C11*D11</f>
        <v>-3</v>
      </c>
      <c r="F11" s="22" t="s">
        <v>174</v>
      </c>
    </row>
    <row r="12" customFormat="false" ht="15" hidden="false" customHeight="false" outlineLevel="0" collapsed="false">
      <c r="A12" s="23" t="s">
        <v>175</v>
      </c>
      <c r="B12" s="22" t="s">
        <v>176</v>
      </c>
      <c r="C12" s="26" t="n">
        <v>-1</v>
      </c>
      <c r="D12" s="25" t="n">
        <v>2</v>
      </c>
      <c r="E12" s="26" t="n">
        <f aca="false">C12*D12</f>
        <v>-2</v>
      </c>
      <c r="F12" s="22" t="s">
        <v>177</v>
      </c>
    </row>
    <row r="14" customFormat="false" ht="15" hidden="false" customHeight="false" outlineLevel="0" collapsed="false">
      <c r="A14" s="16" t="s">
        <v>178</v>
      </c>
      <c r="B14" s="16"/>
      <c r="C14" s="16"/>
      <c r="D14" s="16"/>
      <c r="E14" s="10" t="n">
        <f aca="false">SUM(E5:E12)</f>
        <v>15.5</v>
      </c>
      <c r="F14" s="8" t="n">
        <f aca="false">E14</f>
        <v>15.5</v>
      </c>
    </row>
    <row r="15" customFormat="false" ht="15" hidden="false" customHeight="false" outlineLevel="0" collapsed="false">
      <c r="A15" s="16" t="s">
        <v>179</v>
      </c>
      <c r="B15" s="16"/>
      <c r="C15" s="16"/>
      <c r="D15" s="16"/>
      <c r="E15" s="8" t="n">
        <f aca="false">1.4-0.03*E14</f>
        <v>0.935</v>
      </c>
      <c r="F15" s="22" t="s">
        <v>180</v>
      </c>
    </row>
    <row r="18" customFormat="false" ht="15" hidden="false" customHeight="false" outlineLevel="0" collapsed="false">
      <c r="A18" s="18" t="s">
        <v>181</v>
      </c>
    </row>
    <row r="19" customFormat="false" ht="15" hidden="false" customHeight="false" outlineLevel="0" collapsed="false">
      <c r="A19" s="31" t="s">
        <v>182</v>
      </c>
      <c r="B19" s="31"/>
      <c r="C19" s="31"/>
      <c r="D19" s="31"/>
      <c r="E19" s="31"/>
      <c r="F19" s="31"/>
    </row>
    <row r="20" customFormat="false" ht="15" hidden="false" customHeight="false" outlineLevel="0" collapsed="false">
      <c r="A20" s="31" t="s">
        <v>183</v>
      </c>
      <c r="B20" s="31"/>
      <c r="C20" s="31"/>
      <c r="D20" s="31"/>
      <c r="E20" s="31"/>
      <c r="F20" s="31"/>
    </row>
    <row r="21" customFormat="false" ht="15" hidden="false" customHeight="false" outlineLevel="0" collapsed="false">
      <c r="A21" s="31" t="s">
        <v>184</v>
      </c>
      <c r="B21" s="31"/>
      <c r="C21" s="31"/>
      <c r="D21" s="31"/>
      <c r="E21" s="31"/>
      <c r="F21" s="31"/>
    </row>
    <row r="22" customFormat="false" ht="15" hidden="false" customHeight="false" outlineLevel="0" collapsed="false">
      <c r="A22" s="31" t="s">
        <v>185</v>
      </c>
      <c r="B22" s="31"/>
      <c r="C22" s="31"/>
      <c r="D22" s="31"/>
      <c r="E22" s="31"/>
      <c r="F22" s="31"/>
    </row>
  </sheetData>
  <mergeCells count="8">
    <mergeCell ref="A1:F1"/>
    <mergeCell ref="A2:F2"/>
    <mergeCell ref="A14:D14"/>
    <mergeCell ref="A15:D15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6" min="5" style="0" width="18"/>
  </cols>
  <sheetData>
    <row r="1" customFormat="false" ht="22.05" hidden="false" customHeight="true" outlineLevel="0" collapsed="false">
      <c r="A1" s="1" t="s">
        <v>186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187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188</v>
      </c>
      <c r="B4" s="5" t="s">
        <v>189</v>
      </c>
      <c r="C4" s="5" t="s">
        <v>190</v>
      </c>
      <c r="D4" s="5" t="s">
        <v>191</v>
      </c>
      <c r="E4" s="5" t="s">
        <v>192</v>
      </c>
      <c r="F4" s="5" t="s">
        <v>193</v>
      </c>
    </row>
    <row r="5" customFormat="false" ht="15" hidden="false" customHeight="false" outlineLevel="0" collapsed="false">
      <c r="A5" s="7" t="s">
        <v>77</v>
      </c>
      <c r="B5" s="7" t="s">
        <v>194</v>
      </c>
      <c r="C5" s="32" t="n">
        <f aca="false">'Casos de Uso (UUCW)'!F5</f>
        <v>10</v>
      </c>
      <c r="D5" s="33" t="n">
        <f aca="false">C5/SUM($C$5:$C$8)</f>
        <v>0.181818181818182</v>
      </c>
      <c r="E5" s="24" t="n">
        <f aca="false">D5*Resumo!B19</f>
        <v>200.94</v>
      </c>
      <c r="F5" s="24" t="n">
        <f aca="false">E5/3</f>
        <v>66.98</v>
      </c>
    </row>
    <row r="6" customFormat="false" ht="15" hidden="false" customHeight="false" outlineLevel="0" collapsed="false">
      <c r="A6" s="14" t="s">
        <v>80</v>
      </c>
      <c r="B6" s="14" t="s">
        <v>81</v>
      </c>
      <c r="C6" s="34" t="n">
        <f aca="false">'Casos de Uso (UUCW)'!F6</f>
        <v>15</v>
      </c>
      <c r="D6" s="35" t="n">
        <f aca="false">C6/SUM($C$5:$C$8)</f>
        <v>0.272727272727273</v>
      </c>
      <c r="E6" s="29" t="n">
        <f aca="false">D6*Resumo!B19</f>
        <v>301.41</v>
      </c>
      <c r="F6" s="29" t="n">
        <f aca="false">E6/3</f>
        <v>100.47</v>
      </c>
    </row>
    <row r="7" customFormat="false" ht="15" hidden="false" customHeight="false" outlineLevel="0" collapsed="false">
      <c r="A7" s="7" t="s">
        <v>83</v>
      </c>
      <c r="B7" s="7" t="s">
        <v>195</v>
      </c>
      <c r="C7" s="32" t="n">
        <f aca="false">'Casos de Uso (UUCW)'!F7</f>
        <v>15</v>
      </c>
      <c r="D7" s="33" t="n">
        <f aca="false">C7/SUM($C$5:$C$8)</f>
        <v>0.272727272727273</v>
      </c>
      <c r="E7" s="24" t="n">
        <f aca="false">D7*Resumo!B19</f>
        <v>301.41</v>
      </c>
      <c r="F7" s="24" t="n">
        <f aca="false">E7/3</f>
        <v>100.47</v>
      </c>
    </row>
    <row r="8" customFormat="false" ht="15" hidden="false" customHeight="false" outlineLevel="0" collapsed="false">
      <c r="A8" s="14" t="s">
        <v>86</v>
      </c>
      <c r="B8" s="14" t="s">
        <v>196</v>
      </c>
      <c r="C8" s="34" t="n">
        <f aca="false">'Casos de Uso (UUCW)'!F8</f>
        <v>15</v>
      </c>
      <c r="D8" s="35" t="n">
        <f aca="false">C8/SUM($C$5:$C$8)</f>
        <v>0.272727272727273</v>
      </c>
      <c r="E8" s="29" t="n">
        <f aca="false">D8*Resumo!B19</f>
        <v>301.41</v>
      </c>
      <c r="F8" s="29" t="n">
        <f aca="false">E8/3</f>
        <v>100.47</v>
      </c>
    </row>
    <row r="9" customFormat="false" ht="15" hidden="false" customHeight="false" outlineLevel="0" collapsed="false">
      <c r="A9" s="16" t="s">
        <v>197</v>
      </c>
      <c r="B9" s="16"/>
      <c r="C9" s="36" t="n">
        <f aca="false">SUM(C5:C8)</f>
        <v>55</v>
      </c>
      <c r="D9" s="37" t="n">
        <f aca="false">SUM(D5:D8)</f>
        <v>1</v>
      </c>
      <c r="E9" s="10" t="n">
        <f aca="false">SUM(E5:E8)</f>
        <v>1105.17</v>
      </c>
      <c r="F9" s="10" t="n">
        <f aca="false">SUM(F5:F8)</f>
        <v>368.39</v>
      </c>
    </row>
    <row r="12" customFormat="false" ht="39.55" hidden="false" customHeight="false" outlineLevel="0" collapsed="false">
      <c r="A12" s="5" t="s">
        <v>198</v>
      </c>
      <c r="B12" s="5" t="s">
        <v>199</v>
      </c>
      <c r="C12" s="5" t="s">
        <v>200</v>
      </c>
      <c r="D12" s="5" t="s">
        <v>201</v>
      </c>
      <c r="E12" s="5" t="s">
        <v>193</v>
      </c>
      <c r="F12" s="5"/>
    </row>
    <row r="13" customFormat="false" ht="15" hidden="false" customHeight="false" outlineLevel="0" collapsed="false">
      <c r="A13" s="22" t="s">
        <v>202</v>
      </c>
      <c r="B13" s="22" t="s">
        <v>203</v>
      </c>
      <c r="C13" s="38" t="n">
        <v>0.05</v>
      </c>
      <c r="D13" s="26" t="n">
        <f aca="false">C13*Resumo!B19</f>
        <v>55.2585</v>
      </c>
      <c r="E13" s="26" t="n">
        <f aca="false">D13/3</f>
        <v>18.4195</v>
      </c>
      <c r="F13" s="22"/>
    </row>
    <row r="14" customFormat="false" ht="15" hidden="false" customHeight="false" outlineLevel="0" collapsed="false">
      <c r="A14" s="28" t="s">
        <v>204</v>
      </c>
      <c r="B14" s="28" t="s">
        <v>205</v>
      </c>
      <c r="C14" s="38" t="n">
        <v>0.3</v>
      </c>
      <c r="D14" s="30" t="n">
        <f aca="false">C14*Resumo!B19</f>
        <v>331.551</v>
      </c>
      <c r="E14" s="30" t="n">
        <f aca="false">D14/3</f>
        <v>110.517</v>
      </c>
      <c r="F14" s="28"/>
    </row>
    <row r="15" customFormat="false" ht="15" hidden="false" customHeight="false" outlineLevel="0" collapsed="false">
      <c r="A15" s="22" t="s">
        <v>206</v>
      </c>
      <c r="B15" s="22" t="s">
        <v>207</v>
      </c>
      <c r="C15" s="38" t="n">
        <v>0.3</v>
      </c>
      <c r="D15" s="26" t="n">
        <f aca="false">C15*Resumo!B19</f>
        <v>331.551</v>
      </c>
      <c r="E15" s="26" t="n">
        <f aca="false">D15/3</f>
        <v>110.517</v>
      </c>
      <c r="F15" s="22"/>
    </row>
    <row r="16" customFormat="false" ht="15" hidden="false" customHeight="false" outlineLevel="0" collapsed="false">
      <c r="A16" s="28" t="s">
        <v>208</v>
      </c>
      <c r="B16" s="28" t="s">
        <v>209</v>
      </c>
      <c r="C16" s="38" t="n">
        <v>0.2</v>
      </c>
      <c r="D16" s="30" t="n">
        <f aca="false">C16*Resumo!B19</f>
        <v>221.034</v>
      </c>
      <c r="E16" s="30" t="n">
        <f aca="false">D16/3</f>
        <v>73.678</v>
      </c>
      <c r="F16" s="28"/>
    </row>
    <row r="17" customFormat="false" ht="15" hidden="false" customHeight="false" outlineLevel="0" collapsed="false">
      <c r="A17" s="22" t="s">
        <v>210</v>
      </c>
      <c r="B17" s="22" t="s">
        <v>211</v>
      </c>
      <c r="C17" s="38" t="n">
        <v>0.1</v>
      </c>
      <c r="D17" s="26" t="n">
        <f aca="false">C17*Resumo!B19</f>
        <v>110.517</v>
      </c>
      <c r="E17" s="26" t="n">
        <f aca="false">D17/3</f>
        <v>36.839</v>
      </c>
      <c r="F17" s="22"/>
    </row>
    <row r="18" customFormat="false" ht="15" hidden="false" customHeight="false" outlineLevel="0" collapsed="false">
      <c r="A18" s="28" t="s">
        <v>212</v>
      </c>
      <c r="B18" s="28" t="s">
        <v>213</v>
      </c>
      <c r="C18" s="38" t="n">
        <v>0.05</v>
      </c>
      <c r="D18" s="30" t="n">
        <f aca="false">C18*Resumo!B19</f>
        <v>55.2585</v>
      </c>
      <c r="E18" s="30" t="n">
        <f aca="false">D18/3</f>
        <v>18.4195</v>
      </c>
      <c r="F18" s="28"/>
    </row>
    <row r="19" customFormat="false" ht="15" hidden="false" customHeight="false" outlineLevel="0" collapsed="false">
      <c r="A19" s="16" t="s">
        <v>214</v>
      </c>
      <c r="B19" s="16"/>
      <c r="C19" s="37" t="n">
        <f aca="false">SUM(C13:C18)</f>
        <v>1</v>
      </c>
      <c r="D19" s="10" t="n">
        <f aca="false">SUM(D13:D18)</f>
        <v>1105.17</v>
      </c>
      <c r="E19" s="10" t="n">
        <f aca="false">SUM(E13:E18)</f>
        <v>368.39</v>
      </c>
    </row>
    <row r="22" customFormat="false" ht="15" hidden="false" customHeight="false" outlineLevel="0" collapsed="false">
      <c r="A22" s="18" t="s">
        <v>181</v>
      </c>
    </row>
    <row r="23" customFormat="false" ht="15" hidden="false" customHeight="false" outlineLevel="0" collapsed="false">
      <c r="A23" s="31" t="s">
        <v>215</v>
      </c>
      <c r="B23" s="31"/>
      <c r="C23" s="31"/>
      <c r="D23" s="31"/>
      <c r="E23" s="31"/>
      <c r="F23" s="31"/>
    </row>
    <row r="24" customFormat="false" ht="15" hidden="false" customHeight="false" outlineLevel="0" collapsed="false">
      <c r="A24" s="31" t="s">
        <v>216</v>
      </c>
      <c r="B24" s="31"/>
      <c r="C24" s="31"/>
      <c r="D24" s="31"/>
      <c r="E24" s="31"/>
      <c r="F24" s="31"/>
    </row>
    <row r="25" customFormat="false" ht="15" hidden="false" customHeight="false" outlineLevel="0" collapsed="false">
      <c r="A25" s="31" t="s">
        <v>217</v>
      </c>
      <c r="B25" s="31"/>
      <c r="C25" s="31"/>
      <c r="D25" s="31"/>
      <c r="E25" s="31"/>
      <c r="F25" s="31"/>
    </row>
    <row r="26" customFormat="false" ht="15" hidden="false" customHeight="false" outlineLevel="0" collapsed="false">
      <c r="A26" s="31" t="s">
        <v>218</v>
      </c>
      <c r="B26" s="31"/>
      <c r="C26" s="31"/>
      <c r="D26" s="31"/>
      <c r="E26" s="31"/>
      <c r="F26" s="31"/>
    </row>
  </sheetData>
  <mergeCells count="8">
    <mergeCell ref="A1:F1"/>
    <mergeCell ref="A2:F2"/>
    <mergeCell ref="A9:B9"/>
    <mergeCell ref="A19:B19"/>
    <mergeCell ref="A23:F23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2026-06-01T05:28:26Z</dcterms:created>
  <dc:creator>openpyxl</dc:creator>
  <dc:description/>
  <dc:language>en-US</dc:language>
  <cp:lastModifiedBy/>
  <dcterms:modified xsi:type="dcterms:W3CDTF">2026-06-01T05:28:26Z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