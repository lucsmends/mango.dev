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ecklist Sprint 1" sheetId="1" state="visible" r:id="rId3"/>
    <sheet name="Equipe e Atribuições" sheetId="2" state="visible" r:id="rId4"/>
    <sheet name="Sprint Goal" sheetId="3" state="visible" r:id="rId5"/>
  </sheets>
  <definedNames>
    <definedName function="false" hidden="false" localSheetId="0" name="_xlnm.Print_Titles" vbProcedure="false">'Checklist Sprint 1'!$1:$4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<sst xmlns="http://schemas.openxmlformats.org/spreadsheetml/2006/main" count="250" uniqueCount="175">
  <si>
    <t xml:space="preserve">MANGO — CHECKLIST DA SPRINT 1 (Entrega 1: Planejamento e Estruturação)</t>
  </si>
  <si>
    <t xml:space="preserve">22 itens distribuídos em 4 critérios (Produto 4 · Processo 7 · Config. Software 8 · Qualidade 3). Atualize Status semanalmente.</t>
  </si>
  <si>
    <t xml:space="preserve">#</t>
  </si>
  <si>
    <t xml:space="preserve">Critério</t>
  </si>
  <si>
    <t xml:space="preserve">Tarefa / Item</t>
  </si>
  <si>
    <t xml:space="preserve">Tags</t>
  </si>
  <si>
    <t xml:space="preserve">Artefato esperado</t>
  </si>
  <si>
    <t xml:space="preserve">Responsável</t>
  </si>
  <si>
    <t xml:space="preserve">Evidência (link/arquivo)</t>
  </si>
  <si>
    <t xml:space="preserve">Status</t>
  </si>
  <si>
    <t xml:space="preserve">Produto</t>
  </si>
  <si>
    <t xml:space="preserve">Levantar e listar todos os Casos de Uso do sistema (UC1→UC4).</t>
  </si>
  <si>
    <t xml:space="preserve">UC · Escopo</t>
  </si>
  <si>
    <t xml:space="preserve">Documento de UC</t>
  </si>
  <si>
    <t xml:space="preserve">Equipe</t>
  </si>
  <si>
    <t xml:space="preserve">docs/Casos_de_Uso.docx</t>
  </si>
  <si>
    <t xml:space="preserve">Concluído</t>
  </si>
  <si>
    <t xml:space="preserve">Detalhar cada UC (atores, fluxo principal, alternativos, exceções).</t>
  </si>
  <si>
    <t xml:space="preserve">UC · Requisitos</t>
  </si>
  <si>
    <t xml:space="preserve">Especificação de UC</t>
  </si>
  <si>
    <t xml:space="preserve">docs/Casos_de_Uso.docx (UC1-UC4)</t>
  </si>
  <si>
    <t xml:space="preserve">Definir as Regras de Negócio (RN) de cada UC.</t>
  </si>
  <si>
    <t xml:space="preserve">RN · Requisitos</t>
  </si>
  <si>
    <t xml:space="preserve">Catálogo de RN</t>
  </si>
  <si>
    <t xml:space="preserve">docs/Casos_de_Uso.docx (apêndice)</t>
  </si>
  <si>
    <t xml:space="preserve">Definir escopo do MVP: quais UC entram em cada Sprint.</t>
  </si>
  <si>
    <t xml:space="preserve">MVP · Priorização</t>
  </si>
  <si>
    <t xml:space="preserve">Roadmap de UC</t>
  </si>
  <si>
    <t xml:space="preserve">Plano_de_Projeto.docx §8 + UCP §Esforço</t>
  </si>
  <si>
    <t xml:space="preserve">Processo</t>
  </si>
  <si>
    <t xml:space="preserve">Criar o Plano de Projeto (objetivo, escopo, equipe, riscos, cronograma).</t>
  </si>
  <si>
    <t xml:space="preserve">Artefato · Scrum</t>
  </si>
  <si>
    <t xml:space="preserve">Plano_de_Projeto.docx</t>
  </si>
  <si>
    <t xml:space="preserve">Max</t>
  </si>
  <si>
    <t xml:space="preserve">docs/Plano_de_Projeto.docx</t>
  </si>
  <si>
    <t xml:space="preserve">Montar a planilha de estimativas baseada em Casos de Uso (UCP).</t>
  </si>
  <si>
    <t xml:space="preserve">Estimativa · UCP</t>
  </si>
  <si>
    <t xml:space="preserve">Estimativas_UCP.xlsx</t>
  </si>
  <si>
    <t xml:space="preserve">docs/Estimativas_UCP.xlsx</t>
  </si>
  <si>
    <t xml:space="preserve">Configurar o quadro Trello com as tarefas da Sprint 1.</t>
  </si>
  <si>
    <t xml:space="preserve">Trello · Kanban</t>
  </si>
  <si>
    <t xml:space="preserve">Board Trello</t>
  </si>
  <si>
    <t xml:space="preserve">[def]</t>
  </si>
  <si>
    <t xml:space="preserve">URL do board</t>
  </si>
  <si>
    <t xml:space="preserve">Pendente</t>
  </si>
  <si>
    <t xml:space="preserve">Realizar a reunião de Planejamento da Sprint (45 min).</t>
  </si>
  <si>
    <t xml:space="preserve">Scrum · Cerimônia</t>
  </si>
  <si>
    <t xml:space="preserve">Ata de Planning</t>
  </si>
  <si>
    <t xml:space="preserve">Scrum M.</t>
  </si>
  <si>
    <t xml:space="preserve">docs/atas/planning-sprint1.md</t>
  </si>
  <si>
    <t xml:space="preserve">Realizar as Dailies da Sprint 1 (10 min cada).</t>
  </si>
  <si>
    <t xml:space="preserve">Scrum · Daily</t>
  </si>
  <si>
    <t xml:space="preserve">Registro de Daily</t>
  </si>
  <si>
    <t xml:space="preserve">docs/atas/dailies-sprint1.md</t>
  </si>
  <si>
    <t xml:space="preserve">Realizar a Revisão da Sprint (apresentar entregas).</t>
  </si>
  <si>
    <t xml:space="preserve">Ata de Review</t>
  </si>
  <si>
    <t xml:space="preserve">docs/atas/review-sprint1.md</t>
  </si>
  <si>
    <t xml:space="preserve">Realizar a Retrospectiva da Sprint (o que melhorar).</t>
  </si>
  <si>
    <t xml:space="preserve">Ata de Retro</t>
  </si>
  <si>
    <t xml:space="preserve">docs/atas/retro-sprint1.md</t>
  </si>
  <si>
    <t xml:space="preserve">Configuração</t>
  </si>
  <si>
    <t xml:space="preserve">Criar e configurar o repositório no GitHub (colaboradores + protection).</t>
  </si>
  <si>
    <t xml:space="preserve">Git · GitHub</t>
  </si>
  <si>
    <t xml:space="preserve">Repo + URL</t>
  </si>
  <si>
    <t xml:space="preserve">URL do repo</t>
  </si>
  <si>
    <t xml:space="preserve">Configurar o GitFlow: criar branches main e develop.</t>
  </si>
  <si>
    <t xml:space="preserve">Git · GitFlow</t>
  </si>
  <si>
    <t xml:space="preserve">Branches configuradas</t>
  </si>
  <si>
    <t xml:space="preserve">git branch -a</t>
  </si>
  <si>
    <t xml:space="preserve">Definir e documentar o fluxo de Pull Requests cruzados.</t>
  </si>
  <si>
    <t xml:space="preserve">Git · PR · GitFlow</t>
  </si>
  <si>
    <t xml:space="preserve">Regras de PR</t>
  </si>
  <si>
    <t xml:space="preserve">CONTRIBUTING.md §3</t>
  </si>
  <si>
    <t xml:space="preserve">Criar a estrutura inicial de diretórios (MVC + Service Layer).</t>
  </si>
  <si>
    <t xml:space="preserve">Arquitetura · Maven</t>
  </si>
  <si>
    <t xml:space="preserve">Estrutura de pacotes</t>
  </si>
  <si>
    <t xml:space="preserve">src/main/java/com/mango/{model,...}</t>
  </si>
  <si>
    <t xml:space="preserve">Criar e configurar o pom.xml (Maven, Java 21, JavaFX, H2, Jackson).</t>
  </si>
  <si>
    <t xml:space="preserve">Maven · Build</t>
  </si>
  <si>
    <t xml:space="preserve">pom.xml</t>
  </si>
  <si>
    <t xml:space="preserve">pom.xml na raiz</t>
  </si>
  <si>
    <t xml:space="preserve">Elaborar o README.md inicial.</t>
  </si>
  <si>
    <t xml:space="preserve">Docs · README</t>
  </si>
  <si>
    <t xml:space="preserve">README.md</t>
  </si>
  <si>
    <t xml:space="preserve">Criar o arquivo .gitignore adequado para Java/Maven.</t>
  </si>
  <si>
    <t xml:space="preserve">Git · Config</t>
  </si>
  <si>
    <t xml:space="preserve">.gitignore</t>
  </si>
  <si>
    <t xml:space="preserve">.gitignore na raiz</t>
  </si>
  <si>
    <t xml:space="preserve">Fazer commit inicial e push de cada membro do time (4 devs).</t>
  </si>
  <si>
    <t xml:space="preserve">Git · Commits</t>
  </si>
  <si>
    <t xml:space="preserve">Histórico Git</t>
  </si>
  <si>
    <t xml:space="preserve">Todos</t>
  </si>
  <si>
    <t xml:space="preserve">git log --author de cada um</t>
  </si>
  <si>
    <t xml:space="preserve">Qualidade</t>
  </si>
  <si>
    <t xml:space="preserve">Elaborar os Casos de Teste para as funcionalidades base (UC1).</t>
  </si>
  <si>
    <t xml:space="preserve">Teste · QA</t>
  </si>
  <si>
    <t xml:space="preserve">Documento de CT</t>
  </si>
  <si>
    <t xml:space="preserve">docs/Casos_de_Teste.docx (CT-001..010)</t>
  </si>
  <si>
    <t xml:space="preserve">Definir o Checklist de Funcionalidades da Sprint 1.</t>
  </si>
  <si>
    <t xml:space="preserve">Checklist · QA</t>
  </si>
  <si>
    <t xml:space="preserve">Checklist Sprint 1</t>
  </si>
  <si>
    <t xml:space="preserve">Checklist_Sprint1.xlsx (este arquivo)</t>
  </si>
  <si>
    <t xml:space="preserve">Revisão cruzada: Par B valida artefatos do Par A (e vice-versa).</t>
  </si>
  <si>
    <t xml:space="preserve">Revisão · Pares</t>
  </si>
  <si>
    <t xml:space="preserve">Evidência de revisão</t>
  </si>
  <si>
    <t xml:space="preserve">Pares</t>
  </si>
  <si>
    <t xml:space="preserve">docs/atas/revisao-cruzada-sprint1.md</t>
  </si>
  <si>
    <t xml:space="preserve">RESUMO DE PROGRESSO</t>
  </si>
  <si>
    <t xml:space="preserve">Pontos</t>
  </si>
  <si>
    <t xml:space="preserve">Total</t>
  </si>
  <si>
    <t xml:space="preserve">Concluídos</t>
  </si>
  <si>
    <t xml:space="preserve">Pendentes</t>
  </si>
  <si>
    <t xml:space="preserve">% Concluído</t>
  </si>
  <si>
    <t xml:space="preserve">Nota parcial</t>
  </si>
  <si>
    <t xml:space="preserve">TOTAL</t>
  </si>
  <si>
    <t xml:space="preserve">Legenda de status</t>
  </si>
  <si>
    <t xml:space="preserve">Artefato pronto, validado e linkado na coluna Evidência.</t>
  </si>
  <si>
    <t xml:space="preserve">Em Andamento</t>
  </si>
  <si>
    <t xml:space="preserve">Pessoa responsável trabalhando ativamente na tarefa.</t>
  </si>
  <si>
    <t xml:space="preserve">Em Revisão</t>
  </si>
  <si>
    <t xml:space="preserve">Artefato pronto, aguardando aprovação do par oposto.</t>
  </si>
  <si>
    <t xml:space="preserve">Ainda não começou; sem responsável ativo.</t>
  </si>
  <si>
    <t xml:space="preserve">Bloqueado</t>
  </si>
  <si>
    <t xml:space="preserve">Depende de algo externo (decisão, terceiro, ferramenta).</t>
  </si>
  <si>
    <t xml:space="preserve">Como usar este checklist</t>
  </si>
  <si>
    <t xml:space="preserve">1. Atualize a coluna Status semanalmente; ela tem dropdown e cor automática.</t>
  </si>
  <si>
    <t xml:space="preserve">2. Preencha a coluna Responsável com o nome de uma pessoa, não "equipe".</t>
  </si>
  <si>
    <t xml:space="preserve">3. Sempre que um item ficar Concluído, cole na Evidência o link (PR, doc, board).</t>
  </si>
  <si>
    <t xml:space="preserve">4. A linha TOTAL mostra a projeção da nota do Grau B com base nos itens marcados como Concluído.</t>
  </si>
  <si>
    <t xml:space="preserve">5. Itens parciais (Em Andamento/Revisão) NÃO contam para a nota — só Concluído conta.</t>
  </si>
  <si>
    <t xml:space="preserve">6. Revisem o checklist na Daily de quinta-feira para identificar gargalos antes da entrega de sexta.</t>
  </si>
  <si>
    <t xml:space="preserve">EQUIPE — Atribuições da Sprint 1</t>
  </si>
  <si>
    <t xml:space="preserve">Papel</t>
  </si>
  <si>
    <t xml:space="preserve">Membro</t>
  </si>
  <si>
    <t xml:space="preserve">E-mail / GitHub</t>
  </si>
  <si>
    <t xml:space="preserve">Par</t>
  </si>
  <si>
    <t xml:space="preserve">Sprint focal</t>
  </si>
  <si>
    <t xml:space="preserve">Product Owner</t>
  </si>
  <si>
    <t xml:space="preserve">Max Ho Soares</t>
  </si>
  <si>
    <t xml:space="preserve">max.ho.soares@gmail.com</t>
  </si>
  <si>
    <t xml:space="preserve">Par A</t>
  </si>
  <si>
    <t xml:space="preserve">Sprint 1</t>
  </si>
  <si>
    <t xml:space="preserve">Scrum Master</t>
  </si>
  <si>
    <t xml:space="preserve">[a definir]</t>
  </si>
  <si>
    <t xml:space="preserve">Dev (Par A)</t>
  </si>
  <si>
    <t xml:space="preserve">Dev (Par B)</t>
  </si>
  <si>
    <t xml:space="preserve">Par B</t>
  </si>
  <si>
    <t xml:space="preserve">Rotação de pares</t>
  </si>
  <si>
    <t xml:space="preserve">• Sprint 1: composição inicial (acima).</t>
  </si>
  <si>
    <t xml:space="preserve">• Sprint 2: troca de 1 membro entre os pares.</t>
  </si>
  <si>
    <t xml:space="preserve">• Sprint 3: nova rotação para garantir que todos passem por todos.</t>
  </si>
  <si>
    <t xml:space="preserve">• Sprint 4: composição que dê suporte ao desafio do UC4 (OCR/tradução).</t>
  </si>
  <si>
    <t xml:space="preserve">• Cada par desenvolve uma 'fatia vertical' do UC da semana (Banco → Service → Controller).</t>
  </si>
  <si>
    <t xml:space="preserve">SPRINT 1 — META E DEFINIÇÕES</t>
  </si>
  <si>
    <t xml:space="preserve">Use esta aba como referência rápida durante toda a Sprint 1.</t>
  </si>
  <si>
    <t xml:space="preserve">Sprint</t>
  </si>
  <si>
    <t xml:space="preserve">Sprint 1 — Planejamento e Estruturação</t>
  </si>
  <si>
    <t xml:space="preserve">Período</t>
  </si>
  <si>
    <t xml:space="preserve">05/05/2026 a 11/05/2026</t>
  </si>
  <si>
    <t xml:space="preserve">Sprint Goal</t>
  </si>
  <si>
    <t xml:space="preserve">Entregar todos os artefatos de planejamento e a estrutura inicial do projeto, sem código de produção, garantindo que a equipe esteja pronta para iniciar a Sprint 2 com o UC1.</t>
  </si>
  <si>
    <t xml:space="preserve">Critério de sucesso</t>
  </si>
  <si>
    <t xml:space="preserve">22 itens da Entrega 1 mapeados; mínimo de 18 itens Concluídos até a data de entrega.</t>
  </si>
  <si>
    <t xml:space="preserve">Time-box das cerimônias</t>
  </si>
  <si>
    <t xml:space="preserve">Planning 45 min · Daily 10 min · Review 30 min · Retro 30 min</t>
  </si>
  <si>
    <t xml:space="preserve">Definition of Ready</t>
  </si>
  <si>
    <t xml:space="preserve">Item tem responsável, evidência esperada e está mapeado a um critério.</t>
  </si>
  <si>
    <t xml:space="preserve">Definition of Done</t>
  </si>
  <si>
    <t xml:space="preserve">Ver CONTRIBUTING.md §5.</t>
  </si>
  <si>
    <t xml:space="preserve">Ferramentas</t>
  </si>
  <si>
    <t xml:space="preserve">Git/GitHub, Trello, Discord/Meet, Word/Excel, IntelliJ IDEA.</t>
  </si>
  <si>
    <t xml:space="preserve">Canal principal</t>
  </si>
  <si>
    <t xml:space="preserve">[Discord ou WhatsApp do grupo]</t>
  </si>
  <si>
    <t xml:space="preserve">Riscos críticos</t>
  </si>
  <si>
    <t xml:space="preserve">Atraso na configuração do Git; falta de comprometimento com commits semanais; subestimação da complexidade do UC4.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</si>
</sst>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0%"/>
    <numFmt numFmtId="167" formatCode="0.00"/>
    <numFmt numFmtId="168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9"/>
      <name val="Arial"/>
      <family val="0"/>
      <charset val="1"/>
    </font>
    <font>
      <i val="true"/>
      <sz val="12"/>
      <color rgb="FF40404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DEEAF6"/>
      </patternFill>
    </fill>
    <fill>
      <patternFill patternType="solid">
        <fgColor rgb="FF7030A0"/>
        <bgColor rgb="FF993366"/>
      </patternFill>
    </fill>
    <fill>
      <patternFill patternType="solid">
        <fgColor rgb="FFC65911"/>
        <bgColor rgb="FF993300"/>
      </patternFill>
    </fill>
    <fill>
      <patternFill patternType="solid">
        <fgColor rgb="FF548235"/>
        <bgColor rgb="FF339966"/>
      </patternFill>
    </fill>
    <fill>
      <patternFill patternType="solid">
        <fgColor rgb="FFFFE699"/>
        <bgColor rgb="FFFFEB9C"/>
      </patternFill>
    </fill>
    <fill>
      <patternFill patternType="solid">
        <fgColor rgb="FF2E75B6"/>
        <bgColor rgb="FF0066CC"/>
      </patternFill>
    </fill>
    <fill>
      <patternFill patternType="solid">
        <fgColor rgb="FFDEEAF6"/>
        <bgColor rgb="FFF2F2F2"/>
      </patternFill>
    </fill>
    <fill>
      <patternFill patternType="solid">
        <fgColor rgb="FFC6EFCE"/>
        <bgColor rgb="FFDEEAF6"/>
      </patternFill>
    </fill>
    <fill>
      <patternFill patternType="solid">
        <fgColor rgb="FFFFEB9C"/>
        <bgColor rgb="FFFFE699"/>
      </patternFill>
    </fill>
    <fill>
      <patternFill patternType="solid">
        <fgColor rgb="FFFFC7CE"/>
        <bgColor rgb="FFFFE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7030A0"/>
      <rgbColor rgb="FFF2F2F2"/>
      <rgbColor rgb="FFDEE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E699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C659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3" min="3" style="0" width="50"/>
    <col collapsed="false" customWidth="true" hidden="false" outlineLevel="0" max="4" min="4" style="0" width="16"/>
    <col collapsed="false" customWidth="true" hidden="false" outlineLevel="0" max="5" min="5" style="0" width="15"/>
    <col collapsed="false" customWidth="true" hidden="false" outlineLevel="0" max="6" min="6" style="0" width="18"/>
    <col collapsed="false" customWidth="true" hidden="false" outlineLevel="0" max="7" min="7" style="0" width="35"/>
    <col collapsed="false" customWidth="true" hidden="false" outlineLevel="0" max="8" min="8" style="0" width="1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23.85" hidden="false" customHeight="false" outlineLevel="0" collapsed="false">
      <c r="A5" s="4" t="n">
        <v>1</v>
      </c>
      <c r="B5" s="3" t="s">
        <v>10</v>
      </c>
      <c r="C5" s="5" t="s">
        <v>11</v>
      </c>
      <c r="D5" s="6" t="s">
        <v>12</v>
      </c>
      <c r="E5" s="5" t="s">
        <v>13</v>
      </c>
      <c r="F5" s="4" t="s">
        <v>14</v>
      </c>
      <c r="G5" s="7" t="s">
        <v>15</v>
      </c>
      <c r="H5" s="8" t="s">
        <v>16</v>
      </c>
    </row>
    <row r="6" customFormat="false" ht="23.85" hidden="false" customHeight="false" outlineLevel="0" collapsed="false">
      <c r="A6" s="9" t="n">
        <v>2</v>
      </c>
      <c r="B6" s="3" t="s">
        <v>10</v>
      </c>
      <c r="C6" s="10" t="s">
        <v>17</v>
      </c>
      <c r="D6" s="11" t="s">
        <v>18</v>
      </c>
      <c r="E6" s="10" t="s">
        <v>19</v>
      </c>
      <c r="F6" s="9" t="s">
        <v>14</v>
      </c>
      <c r="G6" s="12" t="s">
        <v>20</v>
      </c>
      <c r="H6" s="8" t="s">
        <v>16</v>
      </c>
    </row>
    <row r="7" customFormat="false" ht="15" hidden="false" customHeight="false" outlineLevel="0" collapsed="false">
      <c r="A7" s="4" t="n">
        <v>3</v>
      </c>
      <c r="B7" s="3" t="s">
        <v>10</v>
      </c>
      <c r="C7" s="5" t="s">
        <v>21</v>
      </c>
      <c r="D7" s="6" t="s">
        <v>22</v>
      </c>
      <c r="E7" s="5" t="s">
        <v>23</v>
      </c>
      <c r="F7" s="4" t="s">
        <v>14</v>
      </c>
      <c r="G7" s="7" t="s">
        <v>24</v>
      </c>
      <c r="H7" s="8" t="s">
        <v>16</v>
      </c>
    </row>
    <row r="8" customFormat="false" ht="15" hidden="false" customHeight="false" outlineLevel="0" collapsed="false">
      <c r="A8" s="9" t="n">
        <v>4</v>
      </c>
      <c r="B8" s="3" t="s">
        <v>10</v>
      </c>
      <c r="C8" s="10" t="s">
        <v>25</v>
      </c>
      <c r="D8" s="11" t="s">
        <v>26</v>
      </c>
      <c r="E8" s="10" t="s">
        <v>27</v>
      </c>
      <c r="F8" s="9" t="s">
        <v>14</v>
      </c>
      <c r="G8" s="12" t="s">
        <v>28</v>
      </c>
      <c r="H8" s="8" t="s">
        <v>16</v>
      </c>
    </row>
    <row r="9" customFormat="false" ht="26.85" hidden="false" customHeight="false" outlineLevel="0" collapsed="false">
      <c r="A9" s="4" t="n">
        <v>5</v>
      </c>
      <c r="B9" s="13" t="s">
        <v>29</v>
      </c>
      <c r="C9" s="5" t="s">
        <v>30</v>
      </c>
      <c r="D9" s="6" t="s">
        <v>31</v>
      </c>
      <c r="E9" s="5" t="s">
        <v>32</v>
      </c>
      <c r="F9" s="4" t="s">
        <v>33</v>
      </c>
      <c r="G9" s="7" t="s">
        <v>34</v>
      </c>
      <c r="H9" s="8" t="s">
        <v>16</v>
      </c>
    </row>
    <row r="10" customFormat="false" ht="26.85" hidden="false" customHeight="false" outlineLevel="0" collapsed="false">
      <c r="A10" s="9" t="n">
        <v>6</v>
      </c>
      <c r="B10" s="13" t="s">
        <v>29</v>
      </c>
      <c r="C10" s="10" t="s">
        <v>35</v>
      </c>
      <c r="D10" s="11" t="s">
        <v>36</v>
      </c>
      <c r="E10" s="10" t="s">
        <v>37</v>
      </c>
      <c r="F10" s="9" t="s">
        <v>33</v>
      </c>
      <c r="G10" s="12" t="s">
        <v>38</v>
      </c>
      <c r="H10" s="8" t="s">
        <v>16</v>
      </c>
    </row>
    <row r="11" customFormat="false" ht="26.85" hidden="false" customHeight="false" outlineLevel="0" collapsed="false">
      <c r="A11" s="4" t="n">
        <v>7</v>
      </c>
      <c r="B11" s="13" t="s">
        <v>29</v>
      </c>
      <c r="C11" s="5" t="s">
        <v>39</v>
      </c>
      <c r="D11" s="6" t="s">
        <v>40</v>
      </c>
      <c r="E11" s="5" t="s">
        <v>41</v>
      </c>
      <c r="F11" s="4" t="s">
        <v>42</v>
      </c>
      <c r="G11" s="7" t="s">
        <v>43</v>
      </c>
      <c r="H11" s="8" t="s">
        <v>44</v>
      </c>
    </row>
    <row r="12" customFormat="false" ht="26.85" hidden="false" customHeight="false" outlineLevel="0" collapsed="false">
      <c r="A12" s="9" t="n">
        <v>8</v>
      </c>
      <c r="B12" s="13" t="s">
        <v>29</v>
      </c>
      <c r="C12" s="10" t="s">
        <v>45</v>
      </c>
      <c r="D12" s="11" t="s">
        <v>46</v>
      </c>
      <c r="E12" s="10" t="s">
        <v>47</v>
      </c>
      <c r="F12" s="9" t="s">
        <v>48</v>
      </c>
      <c r="G12" s="12" t="s">
        <v>49</v>
      </c>
      <c r="H12" s="8" t="s">
        <v>44</v>
      </c>
    </row>
    <row r="13" customFormat="false" ht="26.85" hidden="false" customHeight="false" outlineLevel="0" collapsed="false">
      <c r="A13" s="4" t="n">
        <v>9</v>
      </c>
      <c r="B13" s="13" t="s">
        <v>29</v>
      </c>
      <c r="C13" s="5" t="s">
        <v>50</v>
      </c>
      <c r="D13" s="6" t="s">
        <v>51</v>
      </c>
      <c r="E13" s="5" t="s">
        <v>52</v>
      </c>
      <c r="F13" s="4" t="s">
        <v>14</v>
      </c>
      <c r="G13" s="7" t="s">
        <v>53</v>
      </c>
      <c r="H13" s="8" t="s">
        <v>44</v>
      </c>
    </row>
    <row r="14" customFormat="false" ht="26.85" hidden="false" customHeight="false" outlineLevel="0" collapsed="false">
      <c r="A14" s="9" t="n">
        <v>10</v>
      </c>
      <c r="B14" s="13" t="s">
        <v>29</v>
      </c>
      <c r="C14" s="10" t="s">
        <v>54</v>
      </c>
      <c r="D14" s="11" t="s">
        <v>46</v>
      </c>
      <c r="E14" s="10" t="s">
        <v>55</v>
      </c>
      <c r="F14" s="9" t="s">
        <v>14</v>
      </c>
      <c r="G14" s="12" t="s">
        <v>56</v>
      </c>
      <c r="H14" s="8" t="s">
        <v>44</v>
      </c>
    </row>
    <row r="15" customFormat="false" ht="26.85" hidden="false" customHeight="false" outlineLevel="0" collapsed="false">
      <c r="A15" s="4" t="n">
        <v>11</v>
      </c>
      <c r="B15" s="13" t="s">
        <v>29</v>
      </c>
      <c r="C15" s="5" t="s">
        <v>57</v>
      </c>
      <c r="D15" s="6" t="s">
        <v>46</v>
      </c>
      <c r="E15" s="5" t="s">
        <v>58</v>
      </c>
      <c r="F15" s="4" t="s">
        <v>14</v>
      </c>
      <c r="G15" s="7" t="s">
        <v>59</v>
      </c>
      <c r="H15" s="8" t="s">
        <v>44</v>
      </c>
    </row>
    <row r="16" customFormat="false" ht="26.85" hidden="false" customHeight="false" outlineLevel="0" collapsed="false">
      <c r="A16" s="9" t="n">
        <v>12</v>
      </c>
      <c r="B16" s="14" t="s">
        <v>60</v>
      </c>
      <c r="C16" s="10" t="s">
        <v>61</v>
      </c>
      <c r="D16" s="11" t="s">
        <v>62</v>
      </c>
      <c r="E16" s="10" t="s">
        <v>63</v>
      </c>
      <c r="F16" s="9" t="s">
        <v>33</v>
      </c>
      <c r="G16" s="12" t="s">
        <v>64</v>
      </c>
      <c r="H16" s="8" t="s">
        <v>44</v>
      </c>
    </row>
    <row r="17" customFormat="false" ht="26.85" hidden="false" customHeight="false" outlineLevel="0" collapsed="false">
      <c r="A17" s="4" t="n">
        <v>13</v>
      </c>
      <c r="B17" s="14" t="s">
        <v>60</v>
      </c>
      <c r="C17" s="5" t="s">
        <v>65</v>
      </c>
      <c r="D17" s="6" t="s">
        <v>66</v>
      </c>
      <c r="E17" s="5" t="s">
        <v>67</v>
      </c>
      <c r="F17" s="4" t="s">
        <v>33</v>
      </c>
      <c r="G17" s="7" t="s">
        <v>68</v>
      </c>
      <c r="H17" s="8" t="s">
        <v>44</v>
      </c>
    </row>
    <row r="18" customFormat="false" ht="26.85" hidden="false" customHeight="false" outlineLevel="0" collapsed="false">
      <c r="A18" s="9" t="n">
        <v>14</v>
      </c>
      <c r="B18" s="14" t="s">
        <v>60</v>
      </c>
      <c r="C18" s="10" t="s">
        <v>69</v>
      </c>
      <c r="D18" s="11" t="s">
        <v>70</v>
      </c>
      <c r="E18" s="10" t="s">
        <v>71</v>
      </c>
      <c r="F18" s="9" t="s">
        <v>14</v>
      </c>
      <c r="G18" s="12" t="s">
        <v>72</v>
      </c>
      <c r="H18" s="8" t="s">
        <v>16</v>
      </c>
    </row>
    <row r="19" customFormat="false" ht="26.85" hidden="false" customHeight="false" outlineLevel="0" collapsed="false">
      <c r="A19" s="4" t="n">
        <v>15</v>
      </c>
      <c r="B19" s="14" t="s">
        <v>60</v>
      </c>
      <c r="C19" s="5" t="s">
        <v>73</v>
      </c>
      <c r="D19" s="6" t="s">
        <v>74</v>
      </c>
      <c r="E19" s="5" t="s">
        <v>75</v>
      </c>
      <c r="F19" s="4" t="s">
        <v>14</v>
      </c>
      <c r="G19" s="7" t="s">
        <v>76</v>
      </c>
      <c r="H19" s="8" t="s">
        <v>16</v>
      </c>
    </row>
    <row r="20" customFormat="false" ht="26.85" hidden="false" customHeight="false" outlineLevel="0" collapsed="false">
      <c r="A20" s="9" t="n">
        <v>16</v>
      </c>
      <c r="B20" s="14" t="s">
        <v>60</v>
      </c>
      <c r="C20" s="10" t="s">
        <v>77</v>
      </c>
      <c r="D20" s="11" t="s">
        <v>78</v>
      </c>
      <c r="E20" s="10" t="s">
        <v>79</v>
      </c>
      <c r="F20" s="9" t="s">
        <v>42</v>
      </c>
      <c r="G20" s="12" t="s">
        <v>80</v>
      </c>
      <c r="H20" s="8" t="s">
        <v>44</v>
      </c>
    </row>
    <row r="21" customFormat="false" ht="26.85" hidden="false" customHeight="false" outlineLevel="0" collapsed="false">
      <c r="A21" s="4" t="n">
        <v>17</v>
      </c>
      <c r="B21" s="14" t="s">
        <v>60</v>
      </c>
      <c r="C21" s="5" t="s">
        <v>81</v>
      </c>
      <c r="D21" s="6" t="s">
        <v>82</v>
      </c>
      <c r="E21" s="5" t="s">
        <v>83</v>
      </c>
      <c r="F21" s="4" t="s">
        <v>14</v>
      </c>
      <c r="G21" s="7" t="s">
        <v>83</v>
      </c>
      <c r="H21" s="8" t="s">
        <v>16</v>
      </c>
    </row>
    <row r="22" customFormat="false" ht="26.85" hidden="false" customHeight="false" outlineLevel="0" collapsed="false">
      <c r="A22" s="9" t="n">
        <v>18</v>
      </c>
      <c r="B22" s="14" t="s">
        <v>60</v>
      </c>
      <c r="C22" s="10" t="s">
        <v>84</v>
      </c>
      <c r="D22" s="11" t="s">
        <v>85</v>
      </c>
      <c r="E22" s="10" t="s">
        <v>86</v>
      </c>
      <c r="F22" s="9" t="s">
        <v>42</v>
      </c>
      <c r="G22" s="12" t="s">
        <v>87</v>
      </c>
      <c r="H22" s="8" t="s">
        <v>44</v>
      </c>
    </row>
    <row r="23" customFormat="false" ht="26.85" hidden="false" customHeight="false" outlineLevel="0" collapsed="false">
      <c r="A23" s="4" t="n">
        <v>19</v>
      </c>
      <c r="B23" s="14" t="s">
        <v>60</v>
      </c>
      <c r="C23" s="5" t="s">
        <v>88</v>
      </c>
      <c r="D23" s="6" t="s">
        <v>89</v>
      </c>
      <c r="E23" s="5" t="s">
        <v>90</v>
      </c>
      <c r="F23" s="4" t="s">
        <v>91</v>
      </c>
      <c r="G23" s="7" t="s">
        <v>92</v>
      </c>
      <c r="H23" s="8" t="s">
        <v>44</v>
      </c>
    </row>
    <row r="24" customFormat="false" ht="26.85" hidden="false" customHeight="false" outlineLevel="0" collapsed="false">
      <c r="A24" s="9" t="n">
        <v>20</v>
      </c>
      <c r="B24" s="15" t="s">
        <v>93</v>
      </c>
      <c r="C24" s="10" t="s">
        <v>94</v>
      </c>
      <c r="D24" s="11" t="s">
        <v>95</v>
      </c>
      <c r="E24" s="10" t="s">
        <v>96</v>
      </c>
      <c r="F24" s="9" t="s">
        <v>14</v>
      </c>
      <c r="G24" s="12" t="s">
        <v>97</v>
      </c>
      <c r="H24" s="8" t="s">
        <v>16</v>
      </c>
    </row>
    <row r="25" customFormat="false" ht="26.85" hidden="false" customHeight="false" outlineLevel="0" collapsed="false">
      <c r="A25" s="4" t="n">
        <v>21</v>
      </c>
      <c r="B25" s="15" t="s">
        <v>93</v>
      </c>
      <c r="C25" s="5" t="s">
        <v>98</v>
      </c>
      <c r="D25" s="6" t="s">
        <v>99</v>
      </c>
      <c r="E25" s="5" t="s">
        <v>100</v>
      </c>
      <c r="F25" s="4" t="s">
        <v>14</v>
      </c>
      <c r="G25" s="7" t="s">
        <v>101</v>
      </c>
      <c r="H25" s="8" t="s">
        <v>16</v>
      </c>
    </row>
    <row r="26" customFormat="false" ht="26.85" hidden="false" customHeight="false" outlineLevel="0" collapsed="false">
      <c r="A26" s="9" t="n">
        <v>22</v>
      </c>
      <c r="B26" s="15" t="s">
        <v>93</v>
      </c>
      <c r="C26" s="10" t="s">
        <v>102</v>
      </c>
      <c r="D26" s="11" t="s">
        <v>103</v>
      </c>
      <c r="E26" s="10" t="s">
        <v>104</v>
      </c>
      <c r="F26" s="9" t="s">
        <v>105</v>
      </c>
      <c r="G26" s="12" t="s">
        <v>106</v>
      </c>
      <c r="H26" s="8" t="s">
        <v>44</v>
      </c>
    </row>
    <row r="28" customFormat="false" ht="15" hidden="false" customHeight="true" outlineLevel="0" collapsed="false">
      <c r="B28" s="16" t="s">
        <v>107</v>
      </c>
      <c r="C28" s="16"/>
      <c r="D28" s="16"/>
      <c r="E28" s="16"/>
      <c r="F28" s="16"/>
      <c r="G28" s="16"/>
      <c r="H28" s="16"/>
    </row>
    <row r="29" customFormat="false" ht="15" hidden="false" customHeight="false" outlineLevel="0" collapsed="false">
      <c r="B29" s="17" t="s">
        <v>3</v>
      </c>
      <c r="C29" s="17" t="s">
        <v>108</v>
      </c>
      <c r="D29" s="17" t="s">
        <v>109</v>
      </c>
      <c r="E29" s="17" t="s">
        <v>110</v>
      </c>
      <c r="F29" s="17" t="s">
        <v>111</v>
      </c>
      <c r="G29" s="17" t="s">
        <v>112</v>
      </c>
      <c r="H29" s="17" t="s">
        <v>113</v>
      </c>
    </row>
    <row r="30" customFormat="false" ht="15" hidden="false" customHeight="false" outlineLevel="0" collapsed="false">
      <c r="B30" s="18" t="s">
        <v>10</v>
      </c>
      <c r="C30" s="19" t="n">
        <v>5</v>
      </c>
      <c r="D30" s="20" t="n">
        <v>4</v>
      </c>
      <c r="E30" s="20" t="n">
        <f aca="false">COUNTIFS(B5:B26,"Produto",H5:H26,"Concluído")</f>
        <v>4</v>
      </c>
      <c r="F30" s="20" t="n">
        <f aca="false">D30-E30</f>
        <v>0</v>
      </c>
      <c r="G30" s="21" t="n">
        <f aca="false">E30/D30</f>
        <v>1</v>
      </c>
      <c r="H30" s="22" t="n">
        <f aca="false">C30*G30</f>
        <v>5</v>
      </c>
    </row>
    <row r="31" customFormat="false" ht="26.85" hidden="false" customHeight="false" outlineLevel="0" collapsed="false">
      <c r="B31" s="18" t="s">
        <v>29</v>
      </c>
      <c r="C31" s="19" t="n">
        <v>2</v>
      </c>
      <c r="D31" s="20" t="n">
        <v>7</v>
      </c>
      <c r="E31" s="20" t="n">
        <f aca="false">COUNTIFS(B5:B26,"Processo",H5:H26,"Concluído")</f>
        <v>2</v>
      </c>
      <c r="F31" s="20" t="n">
        <f aca="false">D31-E31</f>
        <v>5</v>
      </c>
      <c r="G31" s="21" t="n">
        <f aca="false">E31/D31</f>
        <v>0.285714285714286</v>
      </c>
      <c r="H31" s="22" t="n">
        <f aca="false">C31*G31</f>
        <v>0.571428571428571</v>
      </c>
    </row>
    <row r="32" customFormat="false" ht="26.85" hidden="false" customHeight="false" outlineLevel="0" collapsed="false">
      <c r="B32" s="18" t="s">
        <v>60</v>
      </c>
      <c r="C32" s="19" t="n">
        <v>2</v>
      </c>
      <c r="D32" s="20" t="n">
        <v>8</v>
      </c>
      <c r="E32" s="20" t="n">
        <f aca="false">COUNTIFS(B5:B26,"Configuração",H5:H26,"Concluído")</f>
        <v>3</v>
      </c>
      <c r="F32" s="20" t="n">
        <f aca="false">D32-E32</f>
        <v>5</v>
      </c>
      <c r="G32" s="21" t="n">
        <f aca="false">E32/D32</f>
        <v>0.375</v>
      </c>
      <c r="H32" s="22" t="n">
        <f aca="false">C32*G32</f>
        <v>0.75</v>
      </c>
    </row>
    <row r="33" customFormat="false" ht="26.85" hidden="false" customHeight="false" outlineLevel="0" collapsed="false">
      <c r="B33" s="18" t="s">
        <v>93</v>
      </c>
      <c r="C33" s="19" t="n">
        <v>1</v>
      </c>
      <c r="D33" s="20" t="n">
        <v>3</v>
      </c>
      <c r="E33" s="20" t="n">
        <f aca="false">COUNTIFS(B5:B26,"Qualidade",H5:H26,"Concluído")</f>
        <v>2</v>
      </c>
      <c r="F33" s="20" t="n">
        <f aca="false">D33-E33</f>
        <v>1</v>
      </c>
      <c r="G33" s="21" t="n">
        <f aca="false">E33/D33</f>
        <v>0.666666666666667</v>
      </c>
      <c r="H33" s="22" t="n">
        <f aca="false">C33*G33</f>
        <v>0.666666666666667</v>
      </c>
    </row>
    <row r="34" customFormat="false" ht="15" hidden="false" customHeight="false" outlineLevel="0" collapsed="false">
      <c r="B34" s="16" t="s">
        <v>114</v>
      </c>
      <c r="C34" s="23" t="n">
        <f aca="false">SUM(C30:C33)</f>
        <v>10</v>
      </c>
      <c r="D34" s="24" t="n">
        <f aca="false">SUM(D30:D33)</f>
        <v>22</v>
      </c>
      <c r="E34" s="24" t="n">
        <f aca="false">SUM(E30:E33)</f>
        <v>11</v>
      </c>
      <c r="F34" s="24" t="n">
        <f aca="false">SUM(F30:F33)</f>
        <v>11</v>
      </c>
      <c r="G34" s="25" t="n">
        <f aca="false">E34/D34</f>
        <v>0.5</v>
      </c>
      <c r="H34" s="26" t="n">
        <f aca="false">SUM(H30:H33)</f>
        <v>6.98809523809524</v>
      </c>
    </row>
    <row r="37" customFormat="false" ht="15" hidden="false" customHeight="false" outlineLevel="0" collapsed="false">
      <c r="B37" s="27" t="s">
        <v>115</v>
      </c>
    </row>
    <row r="38" customFormat="false" ht="26.85" hidden="false" customHeight="true" outlineLevel="0" collapsed="false">
      <c r="B38" s="28" t="s">
        <v>16</v>
      </c>
      <c r="C38" s="29" t="s">
        <v>116</v>
      </c>
      <c r="D38" s="29"/>
      <c r="E38" s="29"/>
      <c r="F38" s="29"/>
      <c r="G38" s="29"/>
      <c r="H38" s="29"/>
    </row>
    <row r="39" customFormat="false" ht="39.55" hidden="false" customHeight="true" outlineLevel="0" collapsed="false">
      <c r="B39" s="30" t="s">
        <v>117</v>
      </c>
      <c r="C39" s="29" t="s">
        <v>118</v>
      </c>
      <c r="D39" s="29"/>
      <c r="E39" s="29"/>
      <c r="F39" s="29"/>
      <c r="G39" s="29"/>
      <c r="H39" s="29"/>
    </row>
    <row r="40" customFormat="false" ht="26.85" hidden="false" customHeight="true" outlineLevel="0" collapsed="false">
      <c r="B40" s="30" t="s">
        <v>119</v>
      </c>
      <c r="C40" s="29" t="s">
        <v>120</v>
      </c>
      <c r="D40" s="29"/>
      <c r="E40" s="29"/>
      <c r="F40" s="29"/>
      <c r="G40" s="29"/>
      <c r="H40" s="29"/>
    </row>
    <row r="41" customFormat="false" ht="26.85" hidden="false" customHeight="true" outlineLevel="0" collapsed="false">
      <c r="B41" s="31" t="s">
        <v>44</v>
      </c>
      <c r="C41" s="29" t="s">
        <v>121</v>
      </c>
      <c r="D41" s="29"/>
      <c r="E41" s="29"/>
      <c r="F41" s="29"/>
      <c r="G41" s="29"/>
      <c r="H41" s="29"/>
    </row>
    <row r="42" customFormat="false" ht="26.85" hidden="false" customHeight="true" outlineLevel="0" collapsed="false">
      <c r="B42" s="31" t="s">
        <v>122</v>
      </c>
      <c r="C42" s="29" t="s">
        <v>123</v>
      </c>
      <c r="D42" s="29"/>
      <c r="E42" s="29"/>
      <c r="F42" s="29"/>
      <c r="G42" s="29"/>
      <c r="H42" s="29"/>
    </row>
    <row r="44" customFormat="false" ht="15" hidden="false" customHeight="false" outlineLevel="0" collapsed="false">
      <c r="B44" s="27" t="s">
        <v>124</v>
      </c>
    </row>
    <row r="45" customFormat="false" ht="15" hidden="false" customHeight="true" outlineLevel="0" collapsed="false">
      <c r="B45" s="32" t="s">
        <v>125</v>
      </c>
      <c r="C45" s="32"/>
      <c r="D45" s="32"/>
      <c r="E45" s="32"/>
      <c r="F45" s="32"/>
      <c r="G45" s="32"/>
      <c r="H45" s="32"/>
    </row>
    <row r="46" customFormat="false" ht="15" hidden="false" customHeight="true" outlineLevel="0" collapsed="false">
      <c r="B46" s="32" t="s">
        <v>126</v>
      </c>
      <c r="C46" s="32"/>
      <c r="D46" s="32"/>
      <c r="E46" s="32"/>
      <c r="F46" s="32"/>
      <c r="G46" s="32"/>
      <c r="H46" s="32"/>
    </row>
    <row r="47" customFormat="false" ht="15" hidden="false" customHeight="true" outlineLevel="0" collapsed="false">
      <c r="B47" s="32" t="s">
        <v>127</v>
      </c>
      <c r="C47" s="32"/>
      <c r="D47" s="32"/>
      <c r="E47" s="32"/>
      <c r="F47" s="32"/>
      <c r="G47" s="32"/>
      <c r="H47" s="32"/>
    </row>
    <row r="48" customFormat="false" ht="15" hidden="false" customHeight="true" outlineLevel="0" collapsed="false">
      <c r="B48" s="32" t="s">
        <v>128</v>
      </c>
      <c r="C48" s="32"/>
      <c r="D48" s="32"/>
      <c r="E48" s="32"/>
      <c r="F48" s="32"/>
      <c r="G48" s="32"/>
      <c r="H48" s="32"/>
    </row>
    <row r="49" customFormat="false" ht="15" hidden="false" customHeight="true" outlineLevel="0" collapsed="false">
      <c r="B49" s="32" t="s">
        <v>129</v>
      </c>
      <c r="C49" s="32"/>
      <c r="D49" s="32"/>
      <c r="E49" s="32"/>
      <c r="F49" s="32"/>
      <c r="G49" s="32"/>
      <c r="H49" s="32"/>
    </row>
    <row r="50" customFormat="false" ht="15" hidden="false" customHeight="true" outlineLevel="0" collapsed="false">
      <c r="B50" s="32" t="s">
        <v>130</v>
      </c>
      <c r="C50" s="32"/>
      <c r="D50" s="32"/>
      <c r="E50" s="32"/>
      <c r="F50" s="32"/>
      <c r="G50" s="32"/>
      <c r="H50" s="32"/>
    </row>
  </sheetData>
  <mergeCells count="14">
    <mergeCell ref="A1:H1"/>
    <mergeCell ref="A2:H2"/>
    <mergeCell ref="B28:H28"/>
    <mergeCell ref="C38:H38"/>
    <mergeCell ref="C39:H39"/>
    <mergeCell ref="C40:H40"/>
    <mergeCell ref="C41:H41"/>
    <mergeCell ref="C42:H42"/>
    <mergeCell ref="B45:H45"/>
    <mergeCell ref="B46:H46"/>
    <mergeCell ref="B47:H47"/>
    <mergeCell ref="B48:H48"/>
    <mergeCell ref="B49:H49"/>
    <mergeCell ref="B50:H50"/>
  </mergeCells>
  <conditionalFormatting sqref="H5:H26">
    <cfRule type="expression" priority="2" aboveAverage="0" equalAverage="0" bottom="0" percent="0" rank="0" text="" dxfId="0">
      <formula>EXACT(H5,"Concluído")</formula>
    </cfRule>
    <cfRule type="expression" priority="3" aboveAverage="0" equalAverage="0" bottom="0" percent="0" rank="0" text="" dxfId="1">
      <formula>EXACT(H5,"Em Andamento")</formula>
    </cfRule>
    <cfRule type="expression" priority="4" aboveAverage="0" equalAverage="0" bottom="0" percent="0" rank="0" text="" dxfId="1">
      <formula>EXACT(H5,"Em Revisão")</formula>
    </cfRule>
    <cfRule type="expression" priority="5" aboveAverage="0" equalAverage="0" bottom="0" percent="0" rank="0" text="" dxfId="2">
      <formula>EXACT(H5,"Pendente")</formula>
    </cfRule>
    <cfRule type="expression" priority="6" aboveAverage="0" equalAverage="0" bottom="0" percent="0" rank="0" text="" dxfId="2">
      <formula>EXACT(H5,"Bloqueado")</formula>
    </cfRule>
  </conditionalFormatting>
  <dataValidations count="1">
    <dataValidation allowBlank="false" errorStyle="stop" operator="between" showDropDown="false" showErrorMessage="false" showInputMessage="false" sqref="H5:H26" type="list">
      <formula1>"Pendente,Em Andamento,Em Revisão,Concluído,Bloqueado"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8"/>
    <col collapsed="false" customWidth="true" hidden="false" outlineLevel="0" max="4" min="3" style="0" width="22"/>
    <col collapsed="false" customWidth="true" hidden="false" outlineLevel="0" max="5" min="5" style="0" width="18"/>
  </cols>
  <sheetData>
    <row r="1" customFormat="false" ht="22.05" hidden="false" customHeight="true" outlineLevel="0" collapsed="false">
      <c r="A1" s="1" t="s">
        <v>131</v>
      </c>
      <c r="B1" s="1"/>
      <c r="C1" s="1"/>
      <c r="D1" s="1"/>
      <c r="E1" s="1"/>
    </row>
    <row r="3" customFormat="false" ht="15" hidden="false" customHeight="false" outlineLevel="0" collapsed="false">
      <c r="A3" s="3" t="s">
        <v>132</v>
      </c>
      <c r="B3" s="3" t="s">
        <v>133</v>
      </c>
      <c r="C3" s="3" t="s">
        <v>134</v>
      </c>
      <c r="D3" s="3" t="s">
        <v>135</v>
      </c>
      <c r="E3" s="3" t="s">
        <v>136</v>
      </c>
    </row>
    <row r="4" customFormat="false" ht="23.85" hidden="false" customHeight="false" outlineLevel="0" collapsed="false">
      <c r="A4" s="8" t="s">
        <v>137</v>
      </c>
      <c r="B4" s="4" t="s">
        <v>138</v>
      </c>
      <c r="C4" s="4" t="s">
        <v>139</v>
      </c>
      <c r="D4" s="4" t="s">
        <v>140</v>
      </c>
      <c r="E4" s="4" t="s">
        <v>141</v>
      </c>
    </row>
    <row r="5" customFormat="false" ht="15" hidden="false" customHeight="false" outlineLevel="0" collapsed="false">
      <c r="A5" s="33" t="s">
        <v>142</v>
      </c>
      <c r="B5" s="9" t="s">
        <v>143</v>
      </c>
      <c r="C5" s="9"/>
      <c r="D5" s="9" t="s">
        <v>140</v>
      </c>
      <c r="E5" s="9" t="s">
        <v>141</v>
      </c>
    </row>
    <row r="6" customFormat="false" ht="15" hidden="false" customHeight="false" outlineLevel="0" collapsed="false">
      <c r="A6" s="8" t="s">
        <v>144</v>
      </c>
      <c r="B6" s="4" t="s">
        <v>143</v>
      </c>
      <c r="C6" s="4"/>
      <c r="D6" s="4" t="s">
        <v>140</v>
      </c>
      <c r="E6" s="4" t="s">
        <v>141</v>
      </c>
    </row>
    <row r="7" customFormat="false" ht="15" hidden="false" customHeight="false" outlineLevel="0" collapsed="false">
      <c r="A7" s="33" t="s">
        <v>145</v>
      </c>
      <c r="B7" s="9" t="s">
        <v>143</v>
      </c>
      <c r="C7" s="9"/>
      <c r="D7" s="9" t="s">
        <v>146</v>
      </c>
      <c r="E7" s="9" t="s">
        <v>141</v>
      </c>
    </row>
    <row r="8" customFormat="false" ht="15" hidden="false" customHeight="false" outlineLevel="0" collapsed="false">
      <c r="A8" s="8" t="s">
        <v>145</v>
      </c>
      <c r="B8" s="4" t="s">
        <v>143</v>
      </c>
      <c r="C8" s="4"/>
      <c r="D8" s="4" t="s">
        <v>146</v>
      </c>
      <c r="E8" s="4" t="s">
        <v>141</v>
      </c>
    </row>
    <row r="11" customFormat="false" ht="15" hidden="false" customHeight="false" outlineLevel="0" collapsed="false">
      <c r="A11" s="34" t="s">
        <v>147</v>
      </c>
      <c r="B11" s="34"/>
      <c r="C11" s="34"/>
      <c r="D11" s="34"/>
      <c r="E11" s="34"/>
    </row>
    <row r="12" customFormat="false" ht="15" hidden="false" customHeight="true" outlineLevel="0" collapsed="false">
      <c r="A12" s="35" t="s">
        <v>148</v>
      </c>
      <c r="B12" s="35"/>
      <c r="C12" s="35"/>
      <c r="D12" s="35"/>
      <c r="E12" s="35"/>
    </row>
    <row r="13" customFormat="false" ht="15" hidden="false" customHeight="true" outlineLevel="0" collapsed="false">
      <c r="A13" s="35" t="s">
        <v>149</v>
      </c>
      <c r="B13" s="35"/>
      <c r="C13" s="35"/>
      <c r="D13" s="35"/>
      <c r="E13" s="35"/>
    </row>
    <row r="14" customFormat="false" ht="15" hidden="false" customHeight="true" outlineLevel="0" collapsed="false">
      <c r="A14" s="35" t="s">
        <v>150</v>
      </c>
      <c r="B14" s="35"/>
      <c r="C14" s="35"/>
      <c r="D14" s="35"/>
      <c r="E14" s="35"/>
    </row>
    <row r="15" customFormat="false" ht="15" hidden="false" customHeight="true" outlineLevel="0" collapsed="false">
      <c r="A15" s="35" t="s">
        <v>151</v>
      </c>
      <c r="B15" s="35"/>
      <c r="C15" s="35"/>
      <c r="D15" s="35"/>
      <c r="E15" s="35"/>
    </row>
    <row r="16" customFormat="false" ht="15" hidden="false" customHeight="true" outlineLevel="0" collapsed="false">
      <c r="A16" s="35" t="s">
        <v>152</v>
      </c>
      <c r="B16" s="35"/>
      <c r="C16" s="35"/>
      <c r="D16" s="35"/>
      <c r="E16" s="35"/>
    </row>
  </sheetData>
  <mergeCells count="7">
    <mergeCell ref="A1:E1"/>
    <mergeCell ref="A11:E11"/>
    <mergeCell ref="A12:E12"/>
    <mergeCell ref="A13:E13"/>
    <mergeCell ref="A14:E14"/>
    <mergeCell ref="A15:E15"/>
    <mergeCell ref="A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0"/>
  </cols>
  <sheetData>
    <row r="1" customFormat="false" ht="22.05" hidden="false" customHeight="true" outlineLevel="0" collapsed="false">
      <c r="A1" s="1" t="s">
        <v>153</v>
      </c>
      <c r="B1" s="1"/>
    </row>
    <row r="2" customFormat="false" ht="15" hidden="false" customHeight="true" outlineLevel="0" collapsed="false">
      <c r="A2" s="2" t="s">
        <v>154</v>
      </c>
      <c r="B2" s="2"/>
    </row>
    <row r="4" customFormat="false" ht="45" hidden="false" customHeight="true" outlineLevel="0" collapsed="false">
      <c r="A4" s="18" t="s">
        <v>155</v>
      </c>
      <c r="B4" s="5" t="s">
        <v>156</v>
      </c>
    </row>
    <row r="5" customFormat="false" ht="45" hidden="false" customHeight="true" outlineLevel="0" collapsed="false">
      <c r="A5" s="18" t="s">
        <v>157</v>
      </c>
      <c r="B5" s="5" t="s">
        <v>158</v>
      </c>
    </row>
    <row r="6" customFormat="false" ht="45" hidden="false" customHeight="true" outlineLevel="0" collapsed="false">
      <c r="A6" s="18" t="s">
        <v>159</v>
      </c>
      <c r="B6" s="5" t="s">
        <v>160</v>
      </c>
    </row>
    <row r="7" customFormat="false" ht="45" hidden="false" customHeight="true" outlineLevel="0" collapsed="false">
      <c r="A7" s="18" t="s">
        <v>161</v>
      </c>
      <c r="B7" s="5" t="s">
        <v>162</v>
      </c>
    </row>
    <row r="8" customFormat="false" ht="45" hidden="false" customHeight="true" outlineLevel="0" collapsed="false">
      <c r="A8" s="18" t="s">
        <v>163</v>
      </c>
      <c r="B8" s="5" t="s">
        <v>164</v>
      </c>
    </row>
    <row r="9" customFormat="false" ht="45" hidden="false" customHeight="true" outlineLevel="0" collapsed="false">
      <c r="A9" s="18" t="s">
        <v>165</v>
      </c>
      <c r="B9" s="5" t="s">
        <v>166</v>
      </c>
    </row>
    <row r="10" customFormat="false" ht="45" hidden="false" customHeight="true" outlineLevel="0" collapsed="false">
      <c r="A10" s="18" t="s">
        <v>167</v>
      </c>
      <c r="B10" s="5" t="s">
        <v>168</v>
      </c>
    </row>
    <row r="11" customFormat="false" ht="45" hidden="false" customHeight="true" outlineLevel="0" collapsed="false">
      <c r="A11" s="18" t="s">
        <v>169</v>
      </c>
      <c r="B11" s="5" t="s">
        <v>170</v>
      </c>
    </row>
    <row r="12" customFormat="false" ht="45" hidden="false" customHeight="true" outlineLevel="0" collapsed="false">
      <c r="A12" s="18" t="s">
        <v>171</v>
      </c>
      <c r="B12" s="5" t="s">
        <v>172</v>
      </c>
    </row>
    <row r="13" customFormat="false" ht="45" hidden="false" customHeight="true" outlineLevel="0" collapsed="false">
      <c r="A13" s="18" t="s">
        <v>173</v>
      </c>
      <c r="B13" s="5" t="s">
        <v>174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2026-05-18T23:10:56Z</dcterms:created>
  <dc:creator>openpyxl</dc:creator>
  <dc:description/>
  <dc:language>en-US</dc:language>
  <cp:lastModifiedBy/>
  <dcterms:modified xsi:type="dcterms:W3CDTF">2026-05-18T23:10:56Z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